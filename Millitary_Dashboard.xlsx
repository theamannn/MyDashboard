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BB153D9-A985-4E24-97DF-90A8B7D0EE8B}" xr6:coauthVersionLast="47" xr6:coauthVersionMax="47" xr10:uidLastSave="{00000000-0000-0000-0000-000000000000}"/>
  <bookViews>
    <workbookView xWindow="-108" yWindow="-108" windowWidth="23256" windowHeight="12456" tabRatio="659" firstSheet="1" activeTab="6" xr2:uid="{00000000-000D-0000-FFFF-FFFF00000000}"/>
  </bookViews>
  <sheets>
    <sheet name="Sheet7" sheetId="9" r:id="rId1"/>
    <sheet name="Sheet1" sheetId="1" r:id="rId2"/>
    <sheet name="Profit by Ammunation" sheetId="6" r:id="rId3"/>
    <sheet name="Total Profit" sheetId="11" r:id="rId4"/>
    <sheet name="Sheet2" sheetId="2" r:id="rId5"/>
    <sheet name="Unit Sold Month" sheetId="4" r:id="rId6"/>
    <sheet name="Dashboard" sheetId="5" r:id="rId7"/>
    <sheet name="Sheet8" sheetId="10" r:id="rId8"/>
  </sheets>
  <definedNames>
    <definedName name="NativeTimeline_Date">#N/A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<sst xmlns="http://schemas.openxmlformats.org/spreadsheetml/2006/main" count="148" uniqueCount="90">
  <si>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Column Labels</t>
  </si>
  <si>
    <t>Count of Exported Item</t>
  </si>
  <si>
    <t>Count of Amount</t>
  </si>
  <si>
    <t>Count of Type of Export</t>
  </si>
  <si>
    <t>Total Count of Exported Item</t>
  </si>
  <si>
    <t>Total Count of Amount</t>
  </si>
  <si>
    <t>Total Count of Type of Export</t>
  </si>
  <si>
    <t>Row Labels</t>
  </si>
  <si>
    <t>Europe Union countries</t>
  </si>
  <si>
    <t>Germany, Belgium, Turkey, Egypt, Oman, Israel, Thailand, Malaysia, Indonesia</t>
  </si>
  <si>
    <t>Republic of Suriname</t>
  </si>
  <si>
    <t>Russia</t>
  </si>
  <si>
    <t>Saudi Arabia, UAE</t>
  </si>
  <si>
    <t>UAE, Egypt, Indonesia, Thailand</t>
  </si>
  <si>
    <t>UAE, Vietnam, European country</t>
  </si>
  <si>
    <t>USA, UK, Germany, UAE, Philippines, Saudi Arabia, Armenia, Kenya</t>
  </si>
  <si>
    <t>Accessories</t>
  </si>
  <si>
    <t>Bulk ammo</t>
  </si>
  <si>
    <t>Export orders pipeline</t>
  </si>
  <si>
    <t>Footwear</t>
  </si>
  <si>
    <t>Head Protection</t>
  </si>
  <si>
    <t>National aggregate</t>
  </si>
  <si>
    <t>Small-caliber Ammunition</t>
  </si>
  <si>
    <t xml:space="preserve">Uniforms &amp; Attire </t>
  </si>
  <si>
    <t>Grand Total</t>
  </si>
  <si>
    <t>Catogory</t>
  </si>
  <si>
    <t>Exported Item</t>
  </si>
  <si>
    <t>Recipient Countries</t>
  </si>
  <si>
    <t>Type of Export</t>
  </si>
  <si>
    <t>Amount</t>
  </si>
  <si>
    <t>Date</t>
  </si>
  <si>
    <t>4,500 Military Attire</t>
  </si>
  <si>
    <t>PSU (OCF Avadi)</t>
  </si>
  <si>
    <t>₹23,622 Crore</t>
  </si>
  <si>
    <t>Bullet-Proof Jackets/Vests</t>
  </si>
  <si>
    <t>MKU, Indian Armour &amp; PSU</t>
  </si>
  <si>
    <t>N/A</t>
  </si>
  <si>
    <t>Military Boots (Including high-altitude)</t>
  </si>
  <si>
    <t>Private Sector</t>
  </si>
  <si>
    <t>₹1.71 Crore ($197,000)</t>
  </si>
  <si>
    <t>Belts, Badges, Beret Caps, Night-Vision Binoculars</t>
  </si>
  <si>
    <t>PSU (Troop Comforts Limited)</t>
  </si>
  <si>
    <t>₹5 Crore ($580,000 USD)</t>
  </si>
  <si>
    <t>5.56 mm rounds</t>
  </si>
  <si>
    <t>Complete Ammunition</t>
  </si>
  <si>
    <t>₹1,860 crore ($ 225,000,000)</t>
  </si>
  <si>
    <t>HS code 93</t>
  </si>
  <si>
    <t>US$ 135.6 million</t>
  </si>
  <si>
    <t>MIL export order book (ammunition &amp; explosives)</t>
  </si>
  <si>
    <t>Munitions India Ltd</t>
  </si>
  <si>
    <t>₹ 6,000 crore</t>
  </si>
  <si>
    <t>Total ammunition exports</t>
  </si>
  <si>
    <t>PSU</t>
  </si>
  <si>
    <t>₹ 1,230 crore (US$ 147.2 million)</t>
  </si>
  <si>
    <t>Sum of Total Price (USD)</t>
  </si>
  <si>
    <t>Sum of Quantity (NOS/Units)</t>
  </si>
  <si>
    <t>Sum of Unit Price (USD)</t>
  </si>
  <si>
    <t>Count of Product</t>
  </si>
  <si>
    <t>Nigeria</t>
  </si>
  <si>
    <t>India Ammunition and Defence Exports - Condensed Sample Data</t>
  </si>
  <si>
    <t>Country Exported</t>
  </si>
  <si>
    <t>HSN Code</t>
  </si>
  <si>
    <t>Product</t>
  </si>
  <si>
    <t>Quantity (NOS/Units)</t>
  </si>
  <si>
    <t>Unit Price (USD)</t>
  </si>
  <si>
    <t>Total Price (USD)</t>
  </si>
  <si>
    <t>Recipient Country</t>
  </si>
  <si>
    <t>India</t>
  </si>
  <si>
    <t>LAPUA MAGNUM SNIPER</t>
  </si>
  <si>
    <t>Armenia</t>
  </si>
  <si>
    <t>SS 109 AMMUNITION</t>
  </si>
  <si>
    <t>Nepal</t>
  </si>
  <si>
    <t xml:space="preserve"> Lapua 168gr OTM </t>
  </si>
  <si>
    <t>Kazakhstan</t>
  </si>
  <si>
    <t>CARTRIDGE 12.7 X 99 MM</t>
  </si>
  <si>
    <t>Malawi</t>
  </si>
  <si>
    <t>CARTRIDGE 7.62 X 51MM</t>
  </si>
  <si>
    <t>155mm Artillery Shell Components</t>
  </si>
  <si>
    <t>France</t>
  </si>
  <si>
    <t>Anti-Tank Guided Missile</t>
  </si>
  <si>
    <t>USA</t>
  </si>
  <si>
    <t>Light Weight Torpedo Spare Parts</t>
  </si>
  <si>
    <t>Vietnam</t>
  </si>
  <si>
    <t>Pinaka Rocket System Warhead Components</t>
  </si>
  <si>
    <t>High-Explosive Anti-Tank Rounds</t>
  </si>
  <si>
    <t>US</t>
  </si>
  <si>
    <t>7.62x39mm AK-Type Ammunition (Ball)</t>
  </si>
  <si>
    <t>Pistol Ammunition 9x19mm (Full Metal Jacket)</t>
  </si>
  <si>
    <t>Belgium</t>
  </si>
  <si>
    <t>Bomb Fuze Mechanism (Inert)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</si>
</sst>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[$$-409]* #,##0.00_ ;_-[$$-409]* \-#,##0.00\ ;_-[$$-409]* &quot;-&quot;??_ ;_-@_ "/>
    <numFmt numFmtId="165" formatCode="0.0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rgb="FF1F1F1F"/>
      <name val="Arial"/>
      <charset val="134"/>
    </font>
    <font>
      <b/>
      <sz val="12"/>
      <color rgb="FF1F1F1F"/>
      <name val="Arial"/>
      <charset val="134"/>
    </font>
    <font>
      <b/>
      <sz val="18"/>
      <color rgb="FF1F1F1F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3.5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rgb="FF3F3F3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2" borderId="1" applyNumberFormat="0" applyAlignment="0" applyProtection="0"/>
    <xf numFmtId="0" fontId="18" fillId="8" borderId="3" applyNumberFormat="0" applyAlignment="0" applyProtection="0"/>
    <xf numFmtId="0" fontId="19" fillId="10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9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 applyAlignment="1">
      <alignment horizontal="left"/>
    </xf>
    <xf numFmtId="43" fontId="0" fillId="0" borderId="0" xfId="0" applyNumberFormat="1"/>
    <xf numFmtId="0" fontId="1" fillId="0" borderId="0" xfId="0" applyFont="1"/>
    <xf numFmtId="0" fontId="2" fillId="2" borderId="1" xfId="2" applyFont="1" applyAlignment="1">
      <alignment horizontal="center" vertical="center" wrapText="1"/>
    </xf>
    <xf numFmtId="0" fontId="3" fillId="3" borderId="2" xfId="8" applyFont="1" applyBorder="1" applyAlignment="1">
      <alignment horizontal="center" vertical="center" wrapText="1" readingOrder="1"/>
    </xf>
    <xf numFmtId="0" fontId="2" fillId="4" borderId="2" xfId="9" applyFont="1" applyBorder="1" applyAlignment="1">
      <alignment horizontal="center" vertical="center" wrapText="1" readingOrder="1"/>
    </xf>
    <xf numFmtId="0" fontId="4" fillId="5" borderId="2" xfId="10" applyFont="1" applyBorder="1" applyAlignment="1">
      <alignment horizontal="center" vertical="center" wrapText="1" readingOrder="1"/>
    </xf>
    <xf numFmtId="0" fontId="4" fillId="6" borderId="2" xfId="5" applyFont="1" applyBorder="1" applyAlignment="1">
      <alignment horizontal="center" vertical="center" wrapText="1" readingOrder="1"/>
    </xf>
    <xf numFmtId="0" fontId="4" fillId="7" borderId="2" xfId="6" applyFont="1" applyBorder="1" applyAlignment="1">
      <alignment horizontal="center" vertical="center" wrapText="1" readingOrder="1"/>
    </xf>
    <xf numFmtId="0" fontId="3" fillId="8" borderId="3" xfId="3" applyFont="1" applyAlignment="1">
      <alignment horizontal="center" vertical="center" wrapText="1" readingOrder="1"/>
    </xf>
    <xf numFmtId="0" fontId="5" fillId="9" borderId="2" xfId="7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wrapText="1" readingOrder="1"/>
    </xf>
    <xf numFmtId="0" fontId="6" fillId="0" borderId="0" xfId="0" applyFont="1" applyAlignment="1">
      <alignment horizontal="center" vertical="center" wrapText="1" readingOrder="1"/>
    </xf>
    <xf numFmtId="4" fontId="6" fillId="0" borderId="0" xfId="0" applyNumberFormat="1" applyFont="1" applyAlignment="1">
      <alignment horizontal="right" wrapText="1" readingOrder="1"/>
    </xf>
    <xf numFmtId="0" fontId="7" fillId="0" borderId="0" xfId="0" applyFont="1" applyAlignment="1">
      <alignment horizontal="center" vertical="center" wrapText="1" readingOrder="1"/>
    </xf>
    <xf numFmtId="14" fontId="6" fillId="0" borderId="0" xfId="0" applyNumberFormat="1" applyFont="1" applyAlignment="1">
      <alignment horizontal="center" vertical="center" wrapText="1" readingOrder="1"/>
    </xf>
    <xf numFmtId="3" fontId="6" fillId="0" borderId="0" xfId="0" applyNumberFormat="1" applyFont="1" applyAlignment="1">
      <alignment horizontal="center" vertical="center" wrapText="1" readingOrder="1"/>
    </xf>
    <xf numFmtId="4" fontId="6" fillId="0" borderId="0" xfId="0" applyNumberFormat="1" applyFont="1" applyAlignment="1">
      <alignment horizontal="center" vertical="center" wrapText="1" readingOrder="1"/>
    </xf>
    <xf numFmtId="0" fontId="8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9" fillId="3" borderId="0" xfId="8" applyFont="1" applyAlignment="1">
      <alignment horizontal="center" vertical="center"/>
    </xf>
    <xf numFmtId="0" fontId="9" fillId="5" borderId="0" xfId="10" applyFont="1" applyAlignment="1">
      <alignment horizontal="center" vertical="center"/>
    </xf>
    <xf numFmtId="0" fontId="9" fillId="10" borderId="0" xfId="4" applyFont="1" applyAlignment="1">
      <alignment horizontal="center" vertical="center"/>
    </xf>
    <xf numFmtId="0" fontId="9" fillId="7" borderId="0" xfId="6" applyFont="1" applyAlignment="1">
      <alignment horizontal="center" vertical="center"/>
    </xf>
    <xf numFmtId="0" fontId="9" fillId="4" borderId="0" xfId="9" applyFont="1" applyAlignment="1">
      <alignment horizontal="center" vertical="center"/>
    </xf>
    <xf numFmtId="0" fontId="9" fillId="6" borderId="0" xfId="5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5" fillId="0" borderId="0" xfId="1" applyFont="1" applyAlignment="1" applyProtection="1">
      <alignment horizontal="center" vertical="center" wrapText="1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right" wrapText="1"/>
    </xf>
    <xf numFmtId="0" fontId="15" fillId="0" borderId="0" xfId="1" applyFont="1" applyAlignment="1" applyProtection="1">
      <alignment wrapText="1"/>
    </xf>
    <xf numFmtId="0" fontId="16" fillId="0" borderId="0" xfId="1" applyAlignment="1" applyProtection="1">
      <alignment wrapText="1"/>
    </xf>
  </cellXfs>
  <cellStyles count="11">
    <cellStyle name="Accent1" xfId="7" builtinId="29"/>
    <cellStyle name="Accent2" xfId="8" builtinId="33"/>
    <cellStyle name="Accent3" xfId="9" builtinId="37"/>
    <cellStyle name="Accent6" xfId="10" builtinId="49"/>
    <cellStyle name="Bad" xfId="5" builtinId="27"/>
    <cellStyle name="Check Cell" xfId="3" builtinId="23"/>
    <cellStyle name="Good" xfId="4" builtinId="26"/>
    <cellStyle name="Hyperlink" xfId="1" builtinId="8"/>
    <cellStyle name="Neutral" xfId="6" builtinId="28"/>
    <cellStyle name="Normal" xfId="0" builtinId="0"/>
    <cellStyle name="Output" xfId="2" builtinId="21"/>
  </cellStyles>
  <dxfs count="3">
    <dxf>
      <numFmt numFmtId="35" formatCode="_ * #,##0.00_ ;_ * \-#,##0.00_ ;_ * &quot;-&quot;??_ ;_ @_ "/>
    </dxf>
    <dxf>
      <numFmt numFmtId="164" formatCode="_-[$$-409]* #,##0.00_ ;_-[$$-409]* \-#,##0.00\ ;_-[$$-409]* &quot;-&quot;??_ ;_-@_ "/>
    </dxf>
    <dxf>
      <numFmt numFmtId="165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[Millitary_Dashboard.xlsx]Profit by Ammunation!PivotTable2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Ammunation'!$B$3</c:f>
              <c:strCache>
                <c:ptCount val="1"/>
                <c:pt idx="0">
                  <c:v>Sum of Total Price (USD)</c:v>
                </c:pt>
              </c:strCache>
            </c:strRef>
          </c:tx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Ammunation'!$B$4:$B$5</c:f>
              <c:numCache>
                <c:formatCode>0.0</c:formatCode>
                <c:ptCount val="1"/>
                <c:pt idx="0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4EE9-A751-36288262AE10}"/>
            </c:ext>
          </c:extLst>
        </c:ser>
        <c:ser>
          <c:idx val="1"/>
          <c:order val="1"/>
          <c:tx>
            <c:strRef>
              <c:f>'Profit by Ammunation'!$C$3</c:f>
              <c:strCache>
                <c:ptCount val="1"/>
                <c:pt idx="0">
                  <c:v>Sum of Quantity (NOS/Units)</c:v>
                </c:pt>
              </c:strCache>
            </c:strRef>
          </c:tx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Ammunation'!$C$4:$C$5</c:f>
              <c:numCache>
                <c:formatCode>0.0</c:formatCode>
                <c:ptCount val="1"/>
                <c:pt idx="0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4-4EE9-A751-36288262AE10}"/>
            </c:ext>
          </c:extLst>
        </c:ser>
        <c:ser>
          <c:idx val="2"/>
          <c:order val="2"/>
          <c:tx>
            <c:strRef>
              <c:f>'Profit by Ammunation'!$D$3</c:f>
              <c:strCache>
                <c:ptCount val="1"/>
                <c:pt idx="0">
                  <c:v>Sum of Unit Price (USD)</c:v>
                </c:pt>
              </c:strCache>
            </c:strRef>
          </c:tx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Ammunation'!$D$4:$D$5</c:f>
              <c:numCache>
                <c:formatCode>0.0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34-4EE9-A751-36288262AE10}"/>
            </c:ext>
          </c:extLst>
        </c:ser>
        <c:ser>
          <c:idx val="3"/>
          <c:order val="3"/>
          <c:tx>
            <c:strRef>
              <c:f>'Profit by Ammunation'!$E$3</c:f>
              <c:strCache>
                <c:ptCount val="1"/>
                <c:pt idx="0">
                  <c:v>Count of Product</c:v>
                </c:pt>
              </c:strCache>
            </c:strRef>
          </c:tx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Ammunation'!$E$4:$E$5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34-4EE9-A751-36288262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96032"/>
        <c:axId val="123997568"/>
      </c:barChart>
      <c:catAx>
        <c:axId val="123996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7568"/>
        <c:crosses val="autoZero"/>
        <c:auto val="1"/>
        <c:lblAlgn val="ctr"/>
        <c:lblOffset val="100"/>
        <c:noMultiLvlLbl val="0"/>
      </c:catAx>
      <c:valAx>
        <c:axId val="12399756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6032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9226f7-c9ac-4efe-ba0c-c7c5caf3334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[Millitary_Dashboard.xlsx]Total Profit!PivotTable3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Profit</a:t>
            </a:r>
            <a:endParaRPr lang="en-US"/>
          </a:p>
        </c:rich>
      </c:tx>
      <c:overlay val="0"/>
    </c:title>
    <c:autoTitleDeleted val="0"/>
    <c:pivotFmts>
      <c:pivotFmt>
        <c:idx val="0"/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'Total Profit'!$B$3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Profit'!$A$4:$A$16</c:f>
              <c:strCache>
                <c:ptCount val="12"/>
                <c:pt idx="0">
                  <c:v>01-01-2024</c:v>
                </c:pt>
                <c:pt idx="1">
                  <c:v>04-03-2024</c:v>
                </c:pt>
                <c:pt idx="2">
                  <c:v>06-03-2024</c:v>
                </c:pt>
                <c:pt idx="3">
                  <c:v>13-03-2024</c:v>
                </c:pt>
                <c:pt idx="4">
                  <c:v>18-05-2024</c:v>
                </c:pt>
                <c:pt idx="5">
                  <c:v>22-07-2024</c:v>
                </c:pt>
                <c:pt idx="6">
                  <c:v>08-09-2024</c:v>
                </c:pt>
                <c:pt idx="7">
                  <c:v>05-11-2024</c:v>
                </c:pt>
                <c:pt idx="8">
                  <c:v>20-01-2025</c:v>
                </c:pt>
                <c:pt idx="9">
                  <c:v>01-03-2025</c:v>
                </c:pt>
                <c:pt idx="10">
                  <c:v>10-04-2025</c:v>
                </c:pt>
                <c:pt idx="11">
                  <c:v>15-05-2025</c:v>
                </c:pt>
              </c:strCache>
            </c:strRef>
          </c:cat>
          <c:val>
            <c:numRef>
              <c:f>'Total Profit'!$B$4:$B$16</c:f>
              <c:numCache>
                <c:formatCode>_-[$$-409]* #,##0.00_ ;_-[$$-409]* \-#,##0.00\ ;_-[$$-409]* "-"??_ ;_-@_ </c:formatCode>
                <c:ptCount val="12"/>
                <c:pt idx="0">
                  <c:v>1271950</c:v>
                </c:pt>
                <c:pt idx="1">
                  <c:v>82500</c:v>
                </c:pt>
                <c:pt idx="2">
                  <c:v>630000</c:v>
                </c:pt>
                <c:pt idx="3">
                  <c:v>2625</c:v>
                </c:pt>
                <c:pt idx="4">
                  <c:v>1200000</c:v>
                </c:pt>
                <c:pt idx="5">
                  <c:v>175000</c:v>
                </c:pt>
                <c:pt idx="6">
                  <c:v>1100000</c:v>
                </c:pt>
                <c:pt idx="7">
                  <c:v>12500000</c:v>
                </c:pt>
                <c:pt idx="8">
                  <c:v>12000000</c:v>
                </c:pt>
                <c:pt idx="9">
                  <c:v>3000000</c:v>
                </c:pt>
                <c:pt idx="10">
                  <c:v>7500000</c:v>
                </c:pt>
                <c:pt idx="11">
                  <c:v>12500000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1-4DA8-B61D-CFAE295C9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30336"/>
        <c:axId val="124466304"/>
      </c:lineChart>
      <c:catAx>
        <c:axId val="12403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6304"/>
        <c:crosses val="autoZero"/>
        <c:auto val="1"/>
        <c:lblAlgn val="ctr"/>
        <c:lblOffset val="100"/>
        <c:noMultiLvlLbl val="0"/>
      </c:catAx>
      <c:valAx>
        <c:axId val="124466304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033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561cba3-69fc-4901-a41b-ab394b8a8f2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[Millitary_Dashboard.xlsx]Unit Sold Month!PivotTable1</c:name>
    <c:fmtId val="1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Month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 Sold Month'!$B$3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'Unit Sold Month'!$A$4:$A$16</c:f>
              <c:strCache>
                <c:ptCount val="12"/>
                <c:pt idx="0">
                  <c:v>01-01-2024</c:v>
                </c:pt>
                <c:pt idx="1">
                  <c:v>04-03-2024</c:v>
                </c:pt>
                <c:pt idx="2">
                  <c:v>06-03-2024</c:v>
                </c:pt>
                <c:pt idx="3">
                  <c:v>13-03-2024</c:v>
                </c:pt>
                <c:pt idx="4">
                  <c:v>18-05-2024</c:v>
                </c:pt>
                <c:pt idx="5">
                  <c:v>22-07-2024</c:v>
                </c:pt>
                <c:pt idx="6">
                  <c:v>08-09-2024</c:v>
                </c:pt>
                <c:pt idx="7">
                  <c:v>05-11-2024</c:v>
                </c:pt>
                <c:pt idx="8">
                  <c:v>20-01-2025</c:v>
                </c:pt>
                <c:pt idx="9">
                  <c:v>01-03-2025</c:v>
                </c:pt>
                <c:pt idx="10">
                  <c:v>10-04-2025</c:v>
                </c:pt>
                <c:pt idx="11">
                  <c:v>15-05-2025</c:v>
                </c:pt>
              </c:strCache>
            </c:strRef>
          </c:cat>
          <c:val>
            <c:numRef>
              <c:f>'Unit Sold Month'!$B$4:$B$16</c:f>
              <c:numCache>
                <c:formatCode>_(* #,##0.00_);_(* \(#,##0.00\);_(* "-"??_);_(@_)</c:formatCode>
                <c:ptCount val="12"/>
                <c:pt idx="0">
                  <c:v>5.95</c:v>
                </c:pt>
                <c:pt idx="1">
                  <c:v>1.65</c:v>
                </c:pt>
                <c:pt idx="2">
                  <c:v>0.63</c:v>
                </c:pt>
                <c:pt idx="3">
                  <c:v>8.75</c:v>
                </c:pt>
                <c:pt idx="4">
                  <c:v>400</c:v>
                </c:pt>
                <c:pt idx="5">
                  <c:v>0.35</c:v>
                </c:pt>
                <c:pt idx="6">
                  <c:v>0.55000000000000004</c:v>
                </c:pt>
                <c:pt idx="7">
                  <c:v>500</c:v>
                </c:pt>
                <c:pt idx="8">
                  <c:v>1200</c:v>
                </c:pt>
                <c:pt idx="9">
                  <c:v>15000</c:v>
                </c:pt>
                <c:pt idx="10">
                  <c:v>50000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5-49AE-B9B4-16A8EB623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37408"/>
        <c:axId val="124738944"/>
      </c:lineChart>
      <c:catAx>
        <c:axId val="124737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8944"/>
        <c:crosses val="autoZero"/>
        <c:auto val="1"/>
        <c:lblAlgn val="ctr"/>
        <c:lblOffset val="100"/>
        <c:noMultiLvlLbl val="0"/>
      </c:catAx>
      <c:valAx>
        <c:axId val="1247389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74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f34cd5-0a27-49f0-9508-df98dcbcb8a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[Millitary_Dashboard.xlsx]Profit by Ammunation!PivotTable2</c:name>
    <c:fmtId val="2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54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3">
                  <a:lumMod val="40000"/>
                  <a:lumOff val="60000"/>
                </a:schemeClr>
              </a:gs>
              <a:gs pos="90000">
                <a:schemeClr val="accent3"/>
              </a:gs>
            </a:gsLst>
            <a:lin ang="5400000" scaled="0"/>
          </a:gradFill>
          <a:ln>
            <a:gradFill>
              <a:gsLst>
                <a:gs pos="0">
                  <a:schemeClr val="accent3"/>
                </a:gs>
                <a:gs pos="100000">
                  <a:schemeClr val="accent3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3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4">
                  <a:lumMod val="40000"/>
                  <a:lumOff val="60000"/>
                </a:schemeClr>
              </a:gs>
              <a:gs pos="90000">
                <a:schemeClr val="accent4"/>
              </a:gs>
            </a:gsLst>
            <a:lin ang="5400000" scaled="0"/>
          </a:gradFill>
          <a:ln>
            <a:gradFill>
              <a:gsLst>
                <a:gs pos="0">
                  <a:schemeClr val="accent4"/>
                </a:gs>
                <a:gs pos="100000">
                  <a:schemeClr val="accent4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4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Ammunation'!$B$3</c:f>
              <c:strCache>
                <c:ptCount val="1"/>
                <c:pt idx="0">
                  <c:v>Sum of Total Price (USD)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Ammunation'!$B$4:$B$5</c:f>
              <c:numCache>
                <c:formatCode>0.0</c:formatCode>
                <c:ptCount val="1"/>
                <c:pt idx="0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9-45F8-9720-2BB148D8800A}"/>
            </c:ext>
          </c:extLst>
        </c:ser>
        <c:ser>
          <c:idx val="1"/>
          <c:order val="1"/>
          <c:tx>
            <c:strRef>
              <c:f>'Profit by Ammunation'!$C$3</c:f>
              <c:strCache>
                <c:ptCount val="1"/>
                <c:pt idx="0">
                  <c:v>Sum of Quantity (NOS/Units)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Ammunation'!$C$4:$C$5</c:f>
              <c:numCache>
                <c:formatCode>0.0</c:formatCode>
                <c:ptCount val="1"/>
                <c:pt idx="0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9-45F8-9720-2BB148D8800A}"/>
            </c:ext>
          </c:extLst>
        </c:ser>
        <c:ser>
          <c:idx val="2"/>
          <c:order val="2"/>
          <c:tx>
            <c:strRef>
              <c:f>'Profit by Ammunation'!$D$3</c:f>
              <c:strCache>
                <c:ptCount val="1"/>
                <c:pt idx="0">
                  <c:v>Sum of Unit Price (USD)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Ammunation'!$D$4:$D$5</c:f>
              <c:numCache>
                <c:formatCode>0.0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9-45F8-9720-2BB148D8800A}"/>
            </c:ext>
          </c:extLst>
        </c:ser>
        <c:ser>
          <c:idx val="3"/>
          <c:order val="3"/>
          <c:tx>
            <c:strRef>
              <c:f>'Profit by Ammunation'!$E$3</c:f>
              <c:strCache>
                <c:ptCount val="1"/>
                <c:pt idx="0">
                  <c:v>Count of Product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'Profit by Ammunation'!$A$4:$A$5</c:f>
              <c:strCache>
                <c:ptCount val="1"/>
                <c:pt idx="0">
                  <c:v>Nigeria</c:v>
                </c:pt>
              </c:strCache>
            </c:strRef>
          </c:cat>
          <c:val>
            <c:numRef>
              <c:f>'Profit by Ammunation'!$E$4:$E$5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9-45F8-9720-2BB148D8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5193216"/>
        <c:axId val="125203200"/>
      </c:barChart>
      <c:catAx>
        <c:axId val="125193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3200"/>
        <c:crosses val="autoZero"/>
        <c:auto val="1"/>
        <c:lblAlgn val="ctr"/>
        <c:lblOffset val="100"/>
        <c:noMultiLvlLbl val="0"/>
      </c:catAx>
      <c:valAx>
        <c:axId val="1252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3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a8c8fc-5a90-4cb2-9ef1-da43c16289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[Millitary_Dashboard.xlsx]Unit Sold Month!PivotTable1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Month</a:t>
            </a:r>
          </a:p>
        </c:rich>
      </c:tx>
      <c:overlay val="0"/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 Sold Month'!$B$3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'Unit Sold Month'!$A$4:$A$16</c:f>
              <c:strCache>
                <c:ptCount val="12"/>
                <c:pt idx="0">
                  <c:v>01-01-2024</c:v>
                </c:pt>
                <c:pt idx="1">
                  <c:v>04-03-2024</c:v>
                </c:pt>
                <c:pt idx="2">
                  <c:v>06-03-2024</c:v>
                </c:pt>
                <c:pt idx="3">
                  <c:v>13-03-2024</c:v>
                </c:pt>
                <c:pt idx="4">
                  <c:v>18-05-2024</c:v>
                </c:pt>
                <c:pt idx="5">
                  <c:v>22-07-2024</c:v>
                </c:pt>
                <c:pt idx="6">
                  <c:v>08-09-2024</c:v>
                </c:pt>
                <c:pt idx="7">
                  <c:v>05-11-2024</c:v>
                </c:pt>
                <c:pt idx="8">
                  <c:v>20-01-2025</c:v>
                </c:pt>
                <c:pt idx="9">
                  <c:v>01-03-2025</c:v>
                </c:pt>
                <c:pt idx="10">
                  <c:v>10-04-2025</c:v>
                </c:pt>
                <c:pt idx="11">
                  <c:v>15-05-2025</c:v>
                </c:pt>
              </c:strCache>
            </c:strRef>
          </c:cat>
          <c:val>
            <c:numRef>
              <c:f>'Unit Sold Month'!$B$4:$B$16</c:f>
              <c:numCache>
                <c:formatCode>_(* #,##0.00_);_(* \(#,##0.00\);_(* "-"??_);_(@_)</c:formatCode>
                <c:ptCount val="12"/>
                <c:pt idx="0">
                  <c:v>5.95</c:v>
                </c:pt>
                <c:pt idx="1">
                  <c:v>1.65</c:v>
                </c:pt>
                <c:pt idx="2">
                  <c:v>0.63</c:v>
                </c:pt>
                <c:pt idx="3">
                  <c:v>8.75</c:v>
                </c:pt>
                <c:pt idx="4">
                  <c:v>400</c:v>
                </c:pt>
                <c:pt idx="5">
                  <c:v>0.35</c:v>
                </c:pt>
                <c:pt idx="6">
                  <c:v>0.55000000000000004</c:v>
                </c:pt>
                <c:pt idx="7">
                  <c:v>500</c:v>
                </c:pt>
                <c:pt idx="8">
                  <c:v>1200</c:v>
                </c:pt>
                <c:pt idx="9">
                  <c:v>15000</c:v>
                </c:pt>
                <c:pt idx="10">
                  <c:v>50000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5-4E30-A1EE-CAFBEB6E1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3872"/>
        <c:axId val="125185408"/>
      </c:lineChart>
      <c:catAx>
        <c:axId val="125183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5408"/>
        <c:crosses val="autoZero"/>
        <c:auto val="1"/>
        <c:lblAlgn val="ctr"/>
        <c:lblOffset val="100"/>
        <c:noMultiLvlLbl val="0"/>
      </c:catAx>
      <c:valAx>
        <c:axId val="12518540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38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5b878e2-a49f-42cc-bf85-34b3616be02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[Millitary_Dashboard.xlsx]Total Profit!PivotTable3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Profit</a:t>
            </a:r>
            <a:endParaRPr lang="en-US"/>
          </a:p>
        </c:rich>
      </c:tx>
      <c:overlay val="0"/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'Total Profit'!$B$3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Profit'!$A$4:$A$16</c:f>
              <c:strCache>
                <c:ptCount val="12"/>
                <c:pt idx="0">
                  <c:v>01-01-2024</c:v>
                </c:pt>
                <c:pt idx="1">
                  <c:v>04-03-2024</c:v>
                </c:pt>
                <c:pt idx="2">
                  <c:v>06-03-2024</c:v>
                </c:pt>
                <c:pt idx="3">
                  <c:v>13-03-2024</c:v>
                </c:pt>
                <c:pt idx="4">
                  <c:v>18-05-2024</c:v>
                </c:pt>
                <c:pt idx="5">
                  <c:v>22-07-2024</c:v>
                </c:pt>
                <c:pt idx="6">
                  <c:v>08-09-2024</c:v>
                </c:pt>
                <c:pt idx="7">
                  <c:v>05-11-2024</c:v>
                </c:pt>
                <c:pt idx="8">
                  <c:v>20-01-2025</c:v>
                </c:pt>
                <c:pt idx="9">
                  <c:v>01-03-2025</c:v>
                </c:pt>
                <c:pt idx="10">
                  <c:v>10-04-2025</c:v>
                </c:pt>
                <c:pt idx="11">
                  <c:v>15-05-2025</c:v>
                </c:pt>
              </c:strCache>
            </c:strRef>
          </c:cat>
          <c:val>
            <c:numRef>
              <c:f>'Total Profit'!$B$4:$B$16</c:f>
              <c:numCache>
                <c:formatCode>_-[$$-409]* #,##0.00_ ;_-[$$-409]* \-#,##0.00\ ;_-[$$-409]* "-"??_ ;_-@_ </c:formatCode>
                <c:ptCount val="12"/>
                <c:pt idx="0">
                  <c:v>1271950</c:v>
                </c:pt>
                <c:pt idx="1">
                  <c:v>82500</c:v>
                </c:pt>
                <c:pt idx="2">
                  <c:v>630000</c:v>
                </c:pt>
                <c:pt idx="3">
                  <c:v>2625</c:v>
                </c:pt>
                <c:pt idx="4">
                  <c:v>1200000</c:v>
                </c:pt>
                <c:pt idx="5">
                  <c:v>175000</c:v>
                </c:pt>
                <c:pt idx="6">
                  <c:v>1100000</c:v>
                </c:pt>
                <c:pt idx="7">
                  <c:v>12500000</c:v>
                </c:pt>
                <c:pt idx="8">
                  <c:v>12000000</c:v>
                </c:pt>
                <c:pt idx="9">
                  <c:v>3000000</c:v>
                </c:pt>
                <c:pt idx="10">
                  <c:v>7500000</c:v>
                </c:pt>
                <c:pt idx="11">
                  <c:v>12500000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D-47A8-AA50-A98743E48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15008"/>
        <c:axId val="125133184"/>
      </c:lineChart>
      <c:catAx>
        <c:axId val="125115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3184"/>
        <c:crosses val="autoZero"/>
        <c:auto val="1"/>
        <c:lblAlgn val="ctr"/>
        <c:lblOffset val="100"/>
        <c:noMultiLvlLbl val="0"/>
      </c:catAx>
      <c:valAx>
        <c:axId val="125133184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5008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018e5ed-f31d-4d0e-8a71-b127ff7d6e0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Price (USD)</c:v>
          </c:tx>
          <c:invertIfNegative val="0"/>
          <c:cat>
            <c:strLit>
              <c:ptCount val="9"/>
              <c:pt idx="0">
                <c:v>Armenia</c:v>
              </c:pt>
              <c:pt idx="1">
                <c:v>Belgium</c:v>
              </c:pt>
              <c:pt idx="2">
                <c:v>France</c:v>
              </c:pt>
              <c:pt idx="3">
                <c:v>Kazakhstan</c:v>
              </c:pt>
              <c:pt idx="4">
                <c:v>Malawi</c:v>
              </c:pt>
              <c:pt idx="5">
                <c:v>Nepal</c:v>
              </c:pt>
              <c:pt idx="6">
                <c:v>Nigeria</c:v>
              </c:pt>
              <c:pt idx="7">
                <c:v>US</c:v>
              </c:pt>
              <c:pt idx="8">
                <c:v>Vietnam</c:v>
              </c:pt>
            </c:strLit>
          </c:cat>
          <c:val>
            <c:numLit>
              <c:formatCode>General</c:formatCode>
              <c:ptCount val="9"/>
              <c:pt idx="0">
                <c:v>12002625</c:v>
              </c:pt>
              <c:pt idx="1">
                <c:v>175000</c:v>
              </c:pt>
              <c:pt idx="2">
                <c:v>13700000</c:v>
              </c:pt>
              <c:pt idx="3">
                <c:v>82500</c:v>
              </c:pt>
              <c:pt idx="4">
                <c:v>1271950</c:v>
              </c:pt>
              <c:pt idx="5">
                <c:v>630000</c:v>
              </c:pt>
              <c:pt idx="6">
                <c:v>1100000</c:v>
              </c:pt>
              <c:pt idx="7">
                <c:v>20000000</c:v>
              </c:pt>
              <c:pt idx="8">
                <c:v>3000000</c:v>
              </c:pt>
            </c:numLit>
          </c:val>
          <c:extLst>
            <c:ext xmlns:c16="http://schemas.microsoft.com/office/drawing/2014/chart" uri="{C3380CC4-5D6E-409C-BE32-E72D297353CC}">
              <c16:uniqueId val="{00000000-CDCE-4F04-90AB-77AA6D762956}"/>
            </c:ext>
          </c:extLst>
        </c:ser>
        <c:ser>
          <c:idx val="1"/>
          <c:order val="1"/>
          <c:tx>
            <c:v>Sum of Quantity (NOS/Units)</c:v>
          </c:tx>
          <c:invertIfNegative val="0"/>
          <c:cat>
            <c:strLit>
              <c:ptCount val="9"/>
              <c:pt idx="0">
                <c:v>Armenia</c:v>
              </c:pt>
              <c:pt idx="1">
                <c:v>Belgium</c:v>
              </c:pt>
              <c:pt idx="2">
                <c:v>France</c:v>
              </c:pt>
              <c:pt idx="3">
                <c:v>Kazakhstan</c:v>
              </c:pt>
              <c:pt idx="4">
                <c:v>Malawi</c:v>
              </c:pt>
              <c:pt idx="5">
                <c:v>Nepal</c:v>
              </c:pt>
              <c:pt idx="6">
                <c:v>Nigeria</c:v>
              </c:pt>
              <c:pt idx="7">
                <c:v>US</c:v>
              </c:pt>
              <c:pt idx="8">
                <c:v>Vietnam</c:v>
              </c:pt>
            </c:strLit>
          </c:cat>
          <c:val>
            <c:numLit>
              <c:formatCode>General</c:formatCode>
              <c:ptCount val="9"/>
              <c:pt idx="0">
                <c:v>10300</c:v>
              </c:pt>
              <c:pt idx="1">
                <c:v>500000</c:v>
              </c:pt>
              <c:pt idx="2">
                <c:v>8000</c:v>
              </c:pt>
              <c:pt idx="3">
                <c:v>50000</c:v>
              </c:pt>
              <c:pt idx="4">
                <c:v>604600</c:v>
              </c:pt>
              <c:pt idx="5">
                <c:v>1000000</c:v>
              </c:pt>
              <c:pt idx="6">
                <c:v>2000000</c:v>
              </c:pt>
              <c:pt idx="7">
                <c:v>25150</c:v>
              </c:pt>
              <c:pt idx="8">
                <c:v>200</c:v>
              </c:pt>
            </c:numLit>
          </c:val>
          <c:extLst>
            <c:ext xmlns:c16="http://schemas.microsoft.com/office/drawing/2014/chart" uri="{C3380CC4-5D6E-409C-BE32-E72D297353CC}">
              <c16:uniqueId val="{00000001-CDCE-4F04-90AB-77AA6D762956}"/>
            </c:ext>
          </c:extLst>
        </c:ser>
        <c:ser>
          <c:idx val="2"/>
          <c:order val="2"/>
          <c:tx>
            <c:v>Sum of Unit Price (USD)</c:v>
          </c:tx>
          <c:invertIfNegative val="0"/>
          <c:cat>
            <c:strLit>
              <c:ptCount val="9"/>
              <c:pt idx="0">
                <c:v>Armenia</c:v>
              </c:pt>
              <c:pt idx="1">
                <c:v>Belgium</c:v>
              </c:pt>
              <c:pt idx="2">
                <c:v>France</c:v>
              </c:pt>
              <c:pt idx="3">
                <c:v>Kazakhstan</c:v>
              </c:pt>
              <c:pt idx="4">
                <c:v>Malawi</c:v>
              </c:pt>
              <c:pt idx="5">
                <c:v>Nepal</c:v>
              </c:pt>
              <c:pt idx="6">
                <c:v>Nigeria</c:v>
              </c:pt>
              <c:pt idx="7">
                <c:v>US</c:v>
              </c:pt>
              <c:pt idx="8">
                <c:v>Vietnam</c:v>
              </c:pt>
            </c:strLit>
          </c:cat>
          <c:val>
            <c:numLit>
              <c:formatCode>General</c:formatCode>
              <c:ptCount val="9"/>
              <c:pt idx="0">
                <c:v>1208.75</c:v>
              </c:pt>
              <c:pt idx="1">
                <c:v>0.35</c:v>
              </c:pt>
              <c:pt idx="2">
                <c:v>2900</c:v>
              </c:pt>
              <c:pt idx="3">
                <c:v>1.65</c:v>
              </c:pt>
              <c:pt idx="4">
                <c:v>5.95</c:v>
              </c:pt>
              <c:pt idx="5">
                <c:v>0.63</c:v>
              </c:pt>
              <c:pt idx="6">
                <c:v>0.55000000000000004</c:v>
              </c:pt>
              <c:pt idx="7">
                <c:v>50500</c:v>
              </c:pt>
              <c:pt idx="8">
                <c:v>15000</c:v>
              </c:pt>
            </c:numLit>
          </c:val>
          <c:extLst>
            <c:ext xmlns:c16="http://schemas.microsoft.com/office/drawing/2014/chart" uri="{C3380CC4-5D6E-409C-BE32-E72D297353CC}">
              <c16:uniqueId val="{00000002-CDCE-4F04-90AB-77AA6D762956}"/>
            </c:ext>
          </c:extLst>
        </c:ser>
        <c:ser>
          <c:idx val="3"/>
          <c:order val="3"/>
          <c:tx>
            <c:v>Count of Product</c:v>
          </c:tx>
          <c:invertIfNegative val="0"/>
          <c:cat>
            <c:strLit>
              <c:ptCount val="9"/>
              <c:pt idx="0">
                <c:v>Armenia</c:v>
              </c:pt>
              <c:pt idx="1">
                <c:v>Belgium</c:v>
              </c:pt>
              <c:pt idx="2">
                <c:v>France</c:v>
              </c:pt>
              <c:pt idx="3">
                <c:v>Kazakhstan</c:v>
              </c:pt>
              <c:pt idx="4">
                <c:v>Malawi</c:v>
              </c:pt>
              <c:pt idx="5">
                <c:v>Nepal</c:v>
              </c:pt>
              <c:pt idx="6">
                <c:v>Nigeria</c:v>
              </c:pt>
              <c:pt idx="7">
                <c:v>US</c:v>
              </c:pt>
              <c:pt idx="8">
                <c:v>Vietnam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1</c:v>
              </c:pt>
              <c:pt idx="2">
                <c:v>2</c:v>
              </c:pt>
              <c:pt idx="3">
                <c:v>1</c:v>
              </c:pt>
              <c:pt idx="4">
                <c:v>2</c:v>
              </c:pt>
              <c:pt idx="5">
                <c:v>1</c:v>
              </c:pt>
              <c:pt idx="6">
                <c:v>1</c:v>
              </c:pt>
              <c:pt idx="7">
                <c:v>2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CDCE-4F04-90AB-77AA6D762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211648"/>
        <c:axId val="92275456"/>
      </c:barChart>
      <c:catAx>
        <c:axId val="197211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275456"/>
        <c:crosses val="autoZero"/>
        <c:auto val="1"/>
        <c:lblAlgn val="ctr"/>
        <c:lblOffset val="100"/>
        <c:noMultiLvlLbl val="0"/>
      </c:catAx>
      <c:valAx>
        <c:axId val="9227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211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jpe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25400</xdr:rowOff>
    </xdr:from>
    <xdr:to>
      <xdr:col>4</xdr:col>
      <xdr:colOff>260350</xdr:colOff>
      <xdr:row>30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5</xdr:row>
      <xdr:rowOff>6350</xdr:rowOff>
    </xdr:from>
    <xdr:to>
      <xdr:col>10</xdr:col>
      <xdr:colOff>101600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511175</xdr:colOff>
      <xdr:row>4</xdr:row>
      <xdr:rowOff>6349</xdr:rowOff>
    </xdr:from>
    <xdr:to>
      <xdr:col>5</xdr:col>
      <xdr:colOff>1171575</xdr:colOff>
      <xdr:row>20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130175</xdr:colOff>
      <xdr:row>0</xdr:row>
      <xdr:rowOff>0</xdr:rowOff>
    </xdr:from>
    <xdr:to>
      <xdr:col>21</xdr:col>
      <xdr:colOff>544286</xdr:colOff>
      <xdr:row>4</xdr:row>
      <xdr:rowOff>171315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747032" y="0"/>
          <a:ext cx="12751254" cy="897029"/>
          <a:chOff x="120650" y="38100"/>
          <a:chExt cx="9696450" cy="965200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600-000002000000}"/>
              </a:ext>
            </a:extLst>
          </xdr:cNvPr>
          <xdr:cNvSpPr txBox="1"/>
        </xdr:nvSpPr>
        <xdr:spPr>
          <a:xfrm>
            <a:off x="120650" y="38100"/>
            <a:ext cx="9696450" cy="96520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2800" b="1"/>
              <a:t>  	  </a:t>
            </a:r>
            <a:r>
              <a:rPr lang="en-US" sz="3000" b="1"/>
              <a:t>Indian  Ammunation</a:t>
            </a:r>
            <a:r>
              <a:rPr lang="en-US" sz="3000" b="1" baseline="0"/>
              <a:t>  Performance  Board</a:t>
            </a:r>
            <a:endParaRPr lang="en-US" sz="3000" b="1"/>
          </a:p>
        </xdr:txBody>
      </xdr:sp>
      <xdr:pic>
        <xdr:nvPicPr>
          <xdr:cNvPr id="6146" name="Picture 2" descr="Munitions India - Wikipedia">
            <a:extLst>
              <a:ext uri="{FF2B5EF4-FFF2-40B4-BE49-F238E27FC236}">
                <a16:creationId xmlns:a16="http://schemas.microsoft.com/office/drawing/2014/main" id="{00000000-0008-0000-0600-0000021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>
          <a:xfrm>
            <a:off x="419100" y="69850"/>
            <a:ext cx="1555750" cy="908357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161473</xdr:colOff>
      <xdr:row>5</xdr:row>
      <xdr:rowOff>110671</xdr:rowOff>
    </xdr:from>
    <xdr:to>
      <xdr:col>14</xdr:col>
      <xdr:colOff>120953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</xdr:colOff>
      <xdr:row>24</xdr:row>
      <xdr:rowOff>159356</xdr:rowOff>
    </xdr:from>
    <xdr:to>
      <xdr:col>21</xdr:col>
      <xdr:colOff>417286</xdr:colOff>
      <xdr:row>41</xdr:row>
      <xdr:rowOff>120953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254000</xdr:colOff>
      <xdr:row>24</xdr:row>
      <xdr:rowOff>172207</xdr:rowOff>
    </xdr:from>
    <xdr:to>
      <xdr:col>10</xdr:col>
      <xdr:colOff>376465</xdr:colOff>
      <xdr:row>40</xdr:row>
      <xdr:rowOff>151190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Dat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14</xdr:col>
      <xdr:colOff>412296</xdr:colOff>
      <xdr:row>5</xdr:row>
      <xdr:rowOff>100239</xdr:rowOff>
    </xdr:from>
    <xdr:to>
      <xdr:col>21</xdr:col>
      <xdr:colOff>471714</xdr:colOff>
      <xdr:row>12</xdr:row>
      <xdr:rowOff>122126</xdr:rowOff>
    </xdr:to>
    <xdr:sp macro="" textlink="">
      <xdr:nvSpPr>
        <xdr:cNvPr id="8" name="Rectangles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TextEdit="1"/>
        </xdr:cNvSpPr>
      </xdr:nvSpPr>
      <xdr:spPr>
        <a:xfrm>
          <a:off x="8813165" y="1052195"/>
          <a:ext cx="4259580" cy="13557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</a:p>
      </xdr:txBody>
    </xdr:sp>
    <xdr:clientData/>
  </xdr:twoCellAnchor>
  <xdr:twoCellAnchor editAs="oneCell">
    <xdr:from>
      <xdr:col>18</xdr:col>
      <xdr:colOff>254452</xdr:colOff>
      <xdr:row>13</xdr:row>
      <xdr:rowOff>55338</xdr:rowOff>
    </xdr:from>
    <xdr:to>
      <xdr:col>21</xdr:col>
      <xdr:colOff>461735</xdr:colOff>
      <xdr:row>23</xdr:row>
      <xdr:rowOff>105834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TextEdit="1"/>
        </xdr:cNvSpPr>
      </xdr:nvSpPr>
      <xdr:spPr>
        <a:xfrm>
          <a:off x="11684452" y="2413909"/>
          <a:ext cx="2112283" cy="1864782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sz="1100"/>
            <a:t>This shape represents a slicer. Slicers are not supported in this version. Please update to the latest version of WPS Office.</a:t>
          </a:r>
        </a:p>
      </xdr:txBody>
    </xdr:sp>
    <xdr:clientData/>
  </xdr:twoCellAnchor>
  <xdr:twoCellAnchor editAs="oneCell">
    <xdr:from>
      <xdr:col>14</xdr:col>
      <xdr:colOff>435882</xdr:colOff>
      <xdr:row>13</xdr:row>
      <xdr:rowOff>57152</xdr:rowOff>
    </xdr:from>
    <xdr:to>
      <xdr:col>18</xdr:col>
      <xdr:colOff>102507</xdr:colOff>
      <xdr:row>23</xdr:row>
      <xdr:rowOff>90714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TextEdit="1"/>
        </xdr:cNvSpPr>
      </xdr:nvSpPr>
      <xdr:spPr>
        <a:xfrm>
          <a:off x="9325882" y="2415723"/>
          <a:ext cx="2206625" cy="1847848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sz="1100"/>
            <a:t>This shape represents a slicer. Slicers are not supported in this version. Please update to the latest version of WPS Office.</a:t>
          </a:r>
        </a:p>
      </xdr:txBody>
    </xdr:sp>
    <xdr:clientData/>
  </xdr:twoCellAnchor>
  <xdr:twoCellAnchor>
    <xdr:from>
      <xdr:col>1</xdr:col>
      <xdr:colOff>423332</xdr:colOff>
      <xdr:row>42</xdr:row>
      <xdr:rowOff>30237</xdr:rowOff>
    </xdr:from>
    <xdr:to>
      <xdr:col>21</xdr:col>
      <xdr:colOff>317499</xdr:colOff>
      <xdr:row>63</xdr:row>
      <xdr:rowOff>30237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LASH" refreshedDate="45987.5432194444" createdVersion="3" refreshedVersion="3" minRefreshableVersion="3" recordCount="13" xr:uid="{00000000-000A-0000-FFFF-FFFF00000000}">
  <cacheSource type="worksheet">
    <worksheetSource ref="B2:H15" sheet="Sheet2"/>
  </cacheSource>
  <cacheFields count="7">
    <cacheField name="HSN Code" numFmtId="0">
      <sharedItems containsSemiMixedTypes="0" containsString="0" containsNumber="1" containsInteger="1" minValue="93062100" maxValue="93069000" count="3">
        <n v="93063000"/>
        <n v="93062100"/>
        <n v="93069000"/>
      </sharedItems>
    </cacheField>
    <cacheField name="Product" numFmtId="0">
      <sharedItems count="13">
        <s v="LAPUA MAGNUM SNIPER"/>
        <s v="SS 109 AMMUNITION"/>
        <s v=" Lapua 168gr OTM "/>
        <s v="CARTRIDGE 12.7 X 99 MM"/>
        <s v="CARTRIDGE 7.62 X 51MM"/>
        <s v="155mm Artillery Shell Components"/>
        <s v="Anti-Tank Guided Missile"/>
        <s v="Light Weight Torpedo Spare Parts"/>
        <s v="Pinaka Rocket System Warhead Components"/>
        <s v="High-Explosive Anti-Tank Rounds"/>
        <s v="7.62x39mm AK-Type Ammunition (Ball)"/>
        <s v="Pistol Ammunition 9x19mm (Full Metal Jacket)"/>
        <s v="Bomb Fuze Mechanism (Inert)"/>
      </sharedItems>
    </cacheField>
    <cacheField name="Quantity (NOS/Units)" numFmtId="0">
      <sharedItems containsSemiMixedTypes="0" containsString="0" containsNumber="1" containsInteger="1" minValue="150" maxValue="2000000" count="13">
        <n v="300"/>
        <n v="1000000"/>
        <n v="50000"/>
        <n v="129600"/>
        <n v="475000"/>
        <n v="5000"/>
        <n v="150"/>
        <n v="200"/>
        <n v="10000"/>
        <n v="25000"/>
        <n v="2000000"/>
        <n v="500000"/>
        <n v="3000"/>
      </sharedItems>
    </cacheField>
    <cacheField name="Unit Price (USD)" numFmtId="0">
      <sharedItems containsSemiMixedTypes="0" containsNonDate="0" containsString="0"/>
    </cacheField>
    <cacheField name="Total Price (USD)" numFmtId="4">
      <sharedItems containsSemiMixedTypes="0" containsNonDate="0" containsString="0"/>
    </cacheField>
    <cacheField name="Country" numFmtId="0">
      <sharedItems count="9">
        <s v="Armenia"/>
        <s v="Nepal"/>
        <s v="Kazakhstan"/>
        <s v="Malawi"/>
        <s v="France"/>
        <s v="US"/>
        <s v="Vietnam"/>
        <s v="Nigeria"/>
        <s v="Belgium"/>
      </sharedItems>
    </cacheField>
    <cacheField name="Date" numFmtId="14">
      <sharedItems containsSemiMixedTypes="0" containsNonDate="0" containsDate="1" containsString="0" minDate="2024-01-01T00:00:00" maxDate="2025-05-15T00:00:00" count="12">
        <d v="2024-03-13T00:00:00"/>
        <d v="2024-03-06T00:00:00"/>
        <d v="2024-03-04T00:00:00"/>
        <d v="2024-01-01T00:00:00"/>
        <d v="2025-05-15T00:00:00"/>
        <d v="2025-04-10T00:00:00"/>
        <d v="2025-03-01T00:00:00"/>
        <d v="2025-01-20T00:00:00"/>
        <d v="2024-11-05T00:00:00"/>
        <d v="2024-09-08T00:00:00"/>
        <d v="2024-07-22T00:00:00"/>
        <d v="2024-05-18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LASH" refreshedDate="45987.683500347201" createdVersion="3" refreshedVersion="3" minRefreshableVersion="3" recordCount="8" xr:uid="{00000000-000A-0000-FFFF-FFFF01000000}">
  <cacheSource type="worksheet">
    <worksheetSource ref="A1:F9" sheet="Sheet1"/>
  </cacheSource>
  <cacheFields count="6">
    <cacheField name="Catogory" numFmtId="0">
      <sharedItems count="8">
        <s v="Uniforms &amp; Attire "/>
        <s v="Head Protection"/>
        <s v="Footwear"/>
        <s v="Accessories"/>
        <s v="Small-caliber Ammunition"/>
        <s v="Bulk ammo"/>
        <s v="Export orders pipeline"/>
        <s v="National aggregate"/>
      </sharedItems>
    </cacheField>
    <cacheField name="Exported Item" numFmtId="0">
      <sharedItems count="8">
        <s v="4,500 Military Attire"/>
        <s v="Bullet-Proof Jackets/Vests"/>
        <s v="Military Boots (Including high-altitude)"/>
        <s v="Belts, Badges, Beret Caps, Night-Vision Binoculars"/>
        <s v="5.56 mm rounds"/>
        <s v="HS code 93"/>
        <s v="MIL export order book (ammunition &amp; explosives)"/>
        <s v="Total ammunition exports"/>
      </sharedItems>
    </cacheField>
    <cacheField name="Recipient Countries" numFmtId="0">
      <sharedItems count="8">
        <s v="Republic of Suriname"/>
        <s v="USA, UK, Germany, UAE, Philippines, Saudi Arabia, Armenia, Kenya"/>
        <s v="Russia"/>
        <s v="Germany, Belgium, Turkey, Egypt, Oman, Israel, Thailand, Malaysia, Indonesia"/>
        <s v="UAE, Egypt, Indonesia, Thailand"/>
        <s v="Europe Union countries"/>
        <s v="UAE, Vietnam, European country"/>
        <s v="Saudi Arabia, UAE"/>
      </sharedItems>
    </cacheField>
    <cacheField name="Type of Export" numFmtId="0">
      <sharedItems count="7">
        <s v="PSU (OCF Avadi)"/>
        <s v="MKU, Indian Armour &amp; PSU"/>
        <s v="Private Sector"/>
        <s v="PSU (Troop Comforts Limited)"/>
        <s v="Complete Ammunition"/>
        <s v="Munitions India Ltd"/>
        <s v="PSU"/>
      </sharedItems>
    </cacheField>
    <cacheField name="Amount" numFmtId="0">
      <sharedItems count="8">
        <s v="₹23,622 Crore"/>
        <s v="N/A"/>
        <s v="₹1.71 Crore ($197,000)"/>
        <s v="₹5 Crore ($580,000 USD)"/>
        <s v="₹1,860 crore ($ 225,000,000)"/>
        <s v="US$ 135.6 million"/>
        <s v="₹ 6,000 crore"/>
        <s v="₹ 1,230 crore (US$ 147.2 million)"/>
      </sharedItems>
    </cacheField>
    <cacheField name="Dat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LASH" refreshedDate="45987.694723379602" createdVersion="3" refreshedVersion="3" minRefreshableVersion="3" recordCount="13" xr:uid="{00000000-000A-0000-FFFF-FFFF02000000}">
  <cacheSource type="worksheet">
    <worksheetSource ref="A2:H15" sheet="Sheet2"/>
  </cacheSource>
  <cacheFields count="8">
    <cacheField name="Country Exported" numFmtId="0">
      <sharedItems containsSemiMixedTypes="0" containsNonDate="0" containsString="0"/>
    </cacheField>
    <cacheField name="HSN Code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Quantity (NOS/Units)" numFmtId="0">
      <sharedItems containsSemiMixedTypes="0" containsNonDate="0" containsString="0"/>
    </cacheField>
    <cacheField name="Unit Price (USD)" numFmtId="0">
      <sharedItems containsSemiMixedTypes="0" containsNonDate="0" containsString="0"/>
    </cacheField>
    <cacheField name="Total Price (USD)" numFmtId="4">
      <sharedItems containsSemiMixedTypes="0" containsNonDate="0" containsString="0"/>
    </cacheField>
    <cacheField name="Recipient Country" numFmtId="0">
      <sharedItems containsSemiMixedTypes="0" containsNonDate="0" containsString="0"/>
    </cacheField>
    <cacheField name="Date" numFmtId="14">
      <sharedItems containsSemiMixedTypes="0" containsNonDate="0" containsDate="1" containsString="0" minDate="2024-01-01T00:00:00" maxDate="2025-05-15T00:00:00" count="12">
        <d v="2024-03-13T00:00:00"/>
        <d v="2024-03-06T00:00:00"/>
        <d v="2024-03-04T00:00:00"/>
        <d v="2024-01-01T00:00:00"/>
        <d v="2025-05-15T00:00:00"/>
        <d v="2025-04-10T00:00:00"/>
        <d v="2025-03-01T00:00:00"/>
        <d v="2025-01-20T00:00:00"/>
        <d v="2024-11-05T00:00:00"/>
        <d v="2024-09-08T00:00:00"/>
        <d v="2024-07-22T00:00:00"/>
        <d v="2024-05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8.75"/>
    <n v="2625"/>
    <x v="0"/>
    <x v="0"/>
  </r>
  <r>
    <x v="0"/>
    <x v="1"/>
    <x v="1"/>
    <n v="0.63"/>
    <n v="630000"/>
    <x v="1"/>
    <x v="1"/>
  </r>
  <r>
    <x v="1"/>
    <x v="2"/>
    <x v="2"/>
    <n v="1.65"/>
    <n v="82500"/>
    <x v="2"/>
    <x v="2"/>
  </r>
  <r>
    <x v="1"/>
    <x v="3"/>
    <x v="3"/>
    <n v="4.5"/>
    <n v="583200"/>
    <x v="3"/>
    <x v="3"/>
  </r>
  <r>
    <x v="1"/>
    <x v="4"/>
    <x v="4"/>
    <n v="1.45"/>
    <n v="688750"/>
    <x v="3"/>
    <x v="3"/>
  </r>
  <r>
    <x v="2"/>
    <x v="5"/>
    <x v="5"/>
    <n v="2500"/>
    <n v="12500000"/>
    <x v="4"/>
    <x v="4"/>
  </r>
  <r>
    <x v="2"/>
    <x v="6"/>
    <x v="6"/>
    <n v="50000"/>
    <n v="7500000"/>
    <x v="5"/>
    <x v="5"/>
  </r>
  <r>
    <x v="2"/>
    <x v="7"/>
    <x v="7"/>
    <n v="15000"/>
    <n v="3000000"/>
    <x v="6"/>
    <x v="6"/>
  </r>
  <r>
    <x v="2"/>
    <x v="8"/>
    <x v="8"/>
    <n v="1200"/>
    <n v="12000000"/>
    <x v="0"/>
    <x v="7"/>
  </r>
  <r>
    <x v="2"/>
    <x v="9"/>
    <x v="9"/>
    <n v="500"/>
    <n v="12500000"/>
    <x v="5"/>
    <x v="8"/>
  </r>
  <r>
    <x v="0"/>
    <x v="10"/>
    <x v="10"/>
    <n v="0.55"/>
    <n v="1100000"/>
    <x v="7"/>
    <x v="9"/>
  </r>
  <r>
    <x v="1"/>
    <x v="11"/>
    <x v="11"/>
    <n v="0.35"/>
    <n v="175000"/>
    <x v="8"/>
    <x v="10"/>
  </r>
  <r>
    <x v="2"/>
    <x v="12"/>
    <x v="12"/>
    <n v="400"/>
    <n v="1200000"/>
    <x v="4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d v="2025-01-01T00:00:00"/>
  </r>
  <r>
    <x v="1"/>
    <x v="1"/>
    <x v="1"/>
    <x v="1"/>
    <x v="1"/>
    <s v="N/A"/>
  </r>
  <r>
    <x v="2"/>
    <x v="2"/>
    <x v="2"/>
    <x v="2"/>
    <x v="2"/>
    <d v="2025-01-29T00:00:00"/>
  </r>
  <r>
    <x v="3"/>
    <x v="3"/>
    <x v="3"/>
    <x v="3"/>
    <x v="3"/>
    <d v="2025-04-08T00:00:00"/>
  </r>
  <r>
    <x v="4"/>
    <x v="4"/>
    <x v="4"/>
    <x v="4"/>
    <x v="4"/>
    <d v="2025-04-10T00:00:00"/>
  </r>
  <r>
    <x v="5"/>
    <x v="5"/>
    <x v="5"/>
    <x v="3"/>
    <x v="5"/>
    <d v="2024-12-09T00:00:00"/>
  </r>
  <r>
    <x v="6"/>
    <x v="6"/>
    <x v="6"/>
    <x v="5"/>
    <x v="6"/>
    <d v="2025-03-08T00:00:00"/>
  </r>
  <r>
    <x v="7"/>
    <x v="7"/>
    <x v="7"/>
    <x v="6"/>
    <x v="7"/>
    <d v="2025-10-10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">
  <r>
    <s v="India"/>
    <n v="93063000"/>
    <s v="LAPUA MAGNUM SNIPER"/>
    <n v="300"/>
    <n v="8.75"/>
    <n v="2625"/>
    <s v="Armenia"/>
    <x v="0"/>
  </r>
  <r>
    <s v="India"/>
    <n v="93063000"/>
    <s v="SS 109 AMMUNITION"/>
    <n v="1000000"/>
    <n v="0.63"/>
    <n v="630000"/>
    <s v="Nepal"/>
    <x v="1"/>
  </r>
  <r>
    <s v="India"/>
    <n v="93062100"/>
    <s v=" Lapua 168gr OTM "/>
    <n v="50000"/>
    <n v="1.65"/>
    <n v="82500"/>
    <s v="Kazakhstan"/>
    <x v="2"/>
  </r>
  <r>
    <s v="India"/>
    <n v="93062100"/>
    <s v="CARTRIDGE 12.7 X 99 MM"/>
    <n v="129600"/>
    <n v="4.5"/>
    <n v="583200"/>
    <s v="Malawi"/>
    <x v="3"/>
  </r>
  <r>
    <s v="India"/>
    <n v="93062100"/>
    <s v="CARTRIDGE 7.62 X 51MM"/>
    <n v="475000"/>
    <n v="1.45"/>
    <n v="688750"/>
    <s v="Malawi"/>
    <x v="3"/>
  </r>
  <r>
    <s v="India"/>
    <n v="93069000"/>
    <s v="155mm Artillery Shell Components"/>
    <n v="5000"/>
    <n v="2500"/>
    <n v="12500000"/>
    <s v="France"/>
    <x v="4"/>
  </r>
  <r>
    <s v="India"/>
    <n v="93069000"/>
    <s v="Anti-Tank Guided Missile"/>
    <n v="150"/>
    <n v="50000"/>
    <n v="7500000"/>
    <s v="USA"/>
    <x v="5"/>
  </r>
  <r>
    <s v="India"/>
    <n v="93069000"/>
    <s v="Light Weight Torpedo Spare Parts"/>
    <n v="200"/>
    <n v="15000"/>
    <n v="3000000"/>
    <s v="Vietnam"/>
    <x v="6"/>
  </r>
  <r>
    <s v="India"/>
    <n v="93069000"/>
    <s v="Pinaka Rocket System Warhead Components"/>
    <n v="10000"/>
    <n v="1200"/>
    <n v="12000000"/>
    <s v="Armenia"/>
    <x v="7"/>
  </r>
  <r>
    <s v="India"/>
    <n v="93069000"/>
    <s v="High-Explosive Anti-Tank Rounds"/>
    <n v="25000"/>
    <n v="500"/>
    <n v="12500000"/>
    <s v="US"/>
    <x v="8"/>
  </r>
  <r>
    <s v="India"/>
    <n v="93063000"/>
    <s v="7.62x39mm AK-Type Ammunition (Ball)"/>
    <n v="2000000"/>
    <n v="0.55000000000000004"/>
    <n v="1100000"/>
    <s v="Nigeria"/>
    <x v="9"/>
  </r>
  <r>
    <s v="India"/>
    <n v="93062100"/>
    <s v="Pistol Ammunition 9x19mm (Full Metal Jacket)"/>
    <n v="500000"/>
    <n v="0.35"/>
    <n v="175000"/>
    <s v="Belgium"/>
    <x v="10"/>
  </r>
  <r>
    <s v="India"/>
    <n v="93069000"/>
    <s v="Bomb Fuze Mechanism (Inert)"/>
    <n v="3000"/>
    <n v="400"/>
    <n v="1200000"/>
    <s v="France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>
  <location ref="A3:AB14" firstHeaderRow="1" firstDataRow="3" firstDataCol="1"/>
  <pivotFields count="6">
    <pivotField axis="axisRow" showAll="0">
      <items count="9">
        <item x="3"/>
        <item x="5"/>
        <item x="6"/>
        <item x="2"/>
        <item x="1"/>
        <item x="7"/>
        <item x="4"/>
        <item x="0"/>
        <item t="default"/>
      </items>
    </pivotField>
    <pivotField dataField="1" showAll="0">
      <items count="9">
        <item x="0"/>
        <item x="4"/>
        <item x="3"/>
        <item x="1"/>
        <item x="5"/>
        <item x="6"/>
        <item x="2"/>
        <item x="7"/>
        <item t="default"/>
      </items>
    </pivotField>
    <pivotField axis="axisCol" showAll="0">
      <items count="9">
        <item x="5"/>
        <item x="3"/>
        <item x="0"/>
        <item x="2"/>
        <item x="7"/>
        <item x="4"/>
        <item x="6"/>
        <item x="1"/>
        <item t="default"/>
      </items>
    </pivotField>
    <pivotField dataField="1" showAll="0">
      <items count="8">
        <item x="4"/>
        <item x="1"/>
        <item x="5"/>
        <item x="2"/>
        <item x="6"/>
        <item x="0"/>
        <item x="3"/>
        <item t="default"/>
      </items>
    </pivotField>
    <pivotField dataField="1" showAll="0">
      <items count="9">
        <item x="7"/>
        <item x="6"/>
        <item x="4"/>
        <item x="2"/>
        <item x="0"/>
        <item x="3"/>
        <item x="1"/>
        <item x="5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2"/>
  </colFields>
  <col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t="grand">
      <x/>
    </i>
    <i t="grand">
      <x/>
    </i>
    <i t="grand">
      <x/>
    </i>
  </colItems>
  <dataFields count="3">
    <dataField name="Count of Exported Item" fld="1" subtotal="count" baseField="0" baseItem="0"/>
    <dataField name="Count of Amount" fld="4" subtotal="count" baseField="0" baseItem="0"/>
    <dataField name="Count of Type of Export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3" indent="0" showHeaders="0" outline="1" outlineData="1" multipleFieldFilters="0" chartFormat="3">
  <location ref="A3:E5" firstHeaderRow="0" firstDataRow="1" firstDataCol="1"/>
  <pivotFields count="7">
    <pivotField showAll="0">
      <items count="4">
        <item x="1"/>
        <item x="0"/>
        <item x="2"/>
        <item t="default"/>
      </items>
    </pivotField>
    <pivotField dataField="1" showAll="0">
      <items count="14">
        <item x="2"/>
        <item x="5"/>
        <item x="10"/>
        <item x="6"/>
        <item x="12"/>
        <item x="3"/>
        <item x="4"/>
        <item x="9"/>
        <item x="0"/>
        <item x="7"/>
        <item x="8"/>
        <item x="11"/>
        <item x="1"/>
        <item t="default"/>
      </items>
    </pivotField>
    <pivotField dataField="1" showAll="0">
      <items count="14">
        <item x="6"/>
        <item x="7"/>
        <item x="0"/>
        <item x="12"/>
        <item x="5"/>
        <item x="8"/>
        <item x="9"/>
        <item x="2"/>
        <item x="3"/>
        <item x="4"/>
        <item x="11"/>
        <item x="1"/>
        <item x="10"/>
        <item t="default"/>
      </items>
    </pivotField>
    <pivotField dataField="1" showAll="0"/>
    <pivotField dataField="1" numFmtId="4" showAll="0"/>
    <pivotField axis="axisRow" showAll="0">
      <items count="10">
        <item h="1" x="0"/>
        <item h="1" x="8"/>
        <item h="1" x="4"/>
        <item h="1" x="2"/>
        <item h="1" x="3"/>
        <item h="1" x="1"/>
        <item x="7"/>
        <item h="1" x="5"/>
        <item h="1" x="6"/>
        <item t="default"/>
      </items>
    </pivotField>
    <pivotField numFmtId="14" showAll="0">
      <items count="13">
        <item x="3"/>
        <item x="2"/>
        <item x="1"/>
        <item x="0"/>
        <item x="11"/>
        <item x="10"/>
        <item x="9"/>
        <item x="8"/>
        <item x="7"/>
        <item x="6"/>
        <item x="5"/>
        <item x="4"/>
        <item t="default"/>
      </items>
    </pivotField>
  </pivotFields>
  <rowFields count="1">
    <field x="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Price (USD)" fld="4" baseField="0" baseItem="0"/>
    <dataField name="Sum of Quantity (NOS/Units)" fld="2" baseField="0" baseItem="0"/>
    <dataField name="Sum of Unit Price (USD)" fld="3" baseField="0" baseItem="0"/>
    <dataField name="Count of Product" fld="1" subtotal="count" baseField="0" baseItem="0"/>
  </dataFields>
  <formats count="1">
    <format dxfId="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0"/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2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chartFormat="3">
  <location ref="A3:B16" firstHeaderRow="1" firstDataRow="1" firstDataCol="1"/>
  <pivotFields count="8">
    <pivotField showAll="0"/>
    <pivotField showAll="0"/>
    <pivotField showAll="0"/>
    <pivotField showAll="0"/>
    <pivotField showAll="0"/>
    <pivotField dataField="1" numFmtId="4" showAll="0"/>
    <pivotField showAll="0"/>
    <pivotField axis="axisRow" numFmtId="14" showAll="0">
      <items count="13">
        <item x="3"/>
        <item x="2"/>
        <item x="1"/>
        <item x="0"/>
        <item x="11"/>
        <item x="10"/>
        <item x="9"/>
        <item x="8"/>
        <item x="7"/>
        <item x="6"/>
        <item x="5"/>
        <item x="4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rice (USD)" fld="5" baseField="0" baseItem="0"/>
  </dataFields>
  <formats count="1">
    <format dxfId="1">
      <pivotArea collapsedLevelsAreSubtotals="1" fieldPosition="0">
        <references count="1">
          <reference field="7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0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chartFormat="4">
  <location ref="A3:B16" firstHeaderRow="1" firstDataRow="1" firstDataCol="1"/>
  <pivotFields count="7">
    <pivotField showAll="0">
      <items count="4">
        <item x="1"/>
        <item x="0"/>
        <item x="2"/>
        <item t="default"/>
      </items>
    </pivotField>
    <pivotField showAll="0" sortType="ascending">
      <items count="14">
        <item x="2"/>
        <item x="5"/>
        <item x="10"/>
        <item x="6"/>
        <item x="12"/>
        <item x="3"/>
        <item x="4"/>
        <item x="9"/>
        <item x="0"/>
        <item x="7"/>
        <item x="8"/>
        <item x="11"/>
        <item x="1"/>
        <item t="default"/>
      </items>
    </pivotField>
    <pivotField showAll="0"/>
    <pivotField dataField="1" showAll="0"/>
    <pivotField numFmtId="4" showAll="0"/>
    <pivotField showAll="0">
      <items count="10">
        <item x="0"/>
        <item x="8"/>
        <item x="4"/>
        <item x="2"/>
        <item x="3"/>
        <item x="1"/>
        <item x="7"/>
        <item x="5"/>
        <item x="6"/>
        <item t="default"/>
      </items>
    </pivotField>
    <pivotField axis="axisRow" numFmtId="14" showAll="0">
      <items count="13">
        <item x="3"/>
        <item x="2"/>
        <item x="1"/>
        <item x="0"/>
        <item x="11"/>
        <item x="10"/>
        <item x="9"/>
        <item x="8"/>
        <item x="7"/>
        <item x="6"/>
        <item x="5"/>
        <item x="4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 Price (USD)" fld="3" baseField="0" baseItem="0"/>
  </dataFields>
  <formats count="1">
    <format dxfId="0">
      <pivotArea collapsedLevelsAreSubtotals="1" fieldPosition="0">
        <references count="1">
          <reference field="6" count="0"/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14"/>
  <sheetViews>
    <sheetView workbookViewId="0">
      <selection activeCell="B13" sqref="B13"/>
    </sheetView>
  </sheetViews>
  <sheetFormatPr defaultColWidth="9" defaultRowHeight="14.4"/>
  <cols>
    <col min="1" max="1" width="22.5546875" customWidth="1"/>
    <col min="2" max="2" width="20.6640625" customWidth="1"/>
    <col min="3" max="3" width="67.109375" customWidth="1"/>
    <col min="4" max="4" width="18.5546875" customWidth="1"/>
    <col min="5" max="5" width="6.109375" customWidth="1"/>
    <col min="6" max="6" width="15.88671875" customWidth="1"/>
    <col min="7" max="7" width="27.5546875" customWidth="1"/>
    <col min="8" max="8" width="28.6640625" customWidth="1"/>
    <col min="9" max="9" width="57.44140625" customWidth="1"/>
    <col min="10" max="10" width="20.6640625" customWidth="1"/>
    <col min="11" max="11" width="67.109375" customWidth="1"/>
    <col min="12" max="12" width="18.5546875" customWidth="1"/>
    <col min="13" max="13" width="6.109375" customWidth="1"/>
    <col min="14" max="14" width="15.88671875" customWidth="1"/>
    <col min="15" max="15" width="27.5546875" customWidth="1"/>
    <col min="16" max="16" width="28.6640625" customWidth="1"/>
    <col min="17" max="17" width="57.44140625" customWidth="1"/>
    <col min="18" max="18" width="20.88671875" customWidth="1"/>
    <col min="19" max="19" width="67.109375" customWidth="1"/>
    <col min="20" max="20" width="18.5546875" customWidth="1"/>
    <col min="21" max="21" width="6.109375" customWidth="1"/>
    <col min="22" max="22" width="15.88671875" customWidth="1"/>
    <col min="23" max="23" width="27.5546875" customWidth="1"/>
    <col min="24" max="24" width="28.6640625" customWidth="1"/>
    <col min="25" max="25" width="57.44140625" customWidth="1"/>
    <col min="26" max="26" width="25.5546875" customWidth="1"/>
    <col min="27" max="27" width="20.33203125" customWidth="1"/>
    <col min="28" max="28" width="25.88671875" customWidth="1"/>
  </cols>
  <sheetData>
    <row r="3" spans="1:28">
      <c r="B3" t="s">
        <v>0</v>
      </c>
    </row>
    <row r="4" spans="1:28">
      <c r="B4" t="s">
        <v>1</v>
      </c>
      <c r="J4" t="s">
        <v>2</v>
      </c>
      <c r="R4" t="s">
        <v>3</v>
      </c>
      <c r="Z4" t="s">
        <v>4</v>
      </c>
      <c r="AA4" t="s">
        <v>5</v>
      </c>
      <c r="AB4" t="s">
        <v>6</v>
      </c>
    </row>
    <row r="5" spans="1:28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8</v>
      </c>
      <c r="S5" t="s">
        <v>9</v>
      </c>
      <c r="T5" t="s">
        <v>10</v>
      </c>
      <c r="U5" t="s">
        <v>11</v>
      </c>
      <c r="V5" t="s">
        <v>12</v>
      </c>
      <c r="W5" t="s">
        <v>13</v>
      </c>
      <c r="X5" t="s">
        <v>14</v>
      </c>
      <c r="Y5" t="s">
        <v>15</v>
      </c>
    </row>
    <row r="6" spans="1:28">
      <c r="A6" s="22" t="s">
        <v>16</v>
      </c>
      <c r="C6">
        <v>1</v>
      </c>
      <c r="K6">
        <v>1</v>
      </c>
      <c r="S6">
        <v>1</v>
      </c>
      <c r="Z6">
        <v>1</v>
      </c>
      <c r="AA6">
        <v>1</v>
      </c>
      <c r="AB6">
        <v>1</v>
      </c>
    </row>
    <row r="7" spans="1:28">
      <c r="A7" s="22" t="s">
        <v>17</v>
      </c>
      <c r="B7">
        <v>1</v>
      </c>
      <c r="J7">
        <v>1</v>
      </c>
      <c r="R7">
        <v>1</v>
      </c>
      <c r="Z7">
        <v>1</v>
      </c>
      <c r="AA7">
        <v>1</v>
      </c>
      <c r="AB7">
        <v>1</v>
      </c>
    </row>
    <row r="8" spans="1:28">
      <c r="A8" s="22" t="s">
        <v>18</v>
      </c>
      <c r="H8">
        <v>1</v>
      </c>
      <c r="P8">
        <v>1</v>
      </c>
      <c r="X8">
        <v>1</v>
      </c>
      <c r="Z8">
        <v>1</v>
      </c>
      <c r="AA8">
        <v>1</v>
      </c>
      <c r="AB8">
        <v>1</v>
      </c>
    </row>
    <row r="9" spans="1:28">
      <c r="A9" s="22" t="s">
        <v>19</v>
      </c>
      <c r="E9">
        <v>1</v>
      </c>
      <c r="M9">
        <v>1</v>
      </c>
      <c r="U9">
        <v>1</v>
      </c>
      <c r="Z9">
        <v>1</v>
      </c>
      <c r="AA9">
        <v>1</v>
      </c>
      <c r="AB9">
        <v>1</v>
      </c>
    </row>
    <row r="10" spans="1:28">
      <c r="A10" s="22" t="s">
        <v>20</v>
      </c>
      <c r="I10">
        <v>1</v>
      </c>
      <c r="Q10">
        <v>1</v>
      </c>
      <c r="Y10">
        <v>1</v>
      </c>
      <c r="Z10">
        <v>1</v>
      </c>
      <c r="AA10">
        <v>1</v>
      </c>
      <c r="AB10">
        <v>1</v>
      </c>
    </row>
    <row r="11" spans="1:28">
      <c r="A11" s="22" t="s">
        <v>21</v>
      </c>
      <c r="F11">
        <v>1</v>
      </c>
      <c r="N11">
        <v>1</v>
      </c>
      <c r="V11">
        <v>1</v>
      </c>
      <c r="Z11">
        <v>1</v>
      </c>
      <c r="AA11">
        <v>1</v>
      </c>
      <c r="AB11">
        <v>1</v>
      </c>
    </row>
    <row r="12" spans="1:28">
      <c r="A12" s="22" t="s">
        <v>22</v>
      </c>
      <c r="G12">
        <v>1</v>
      </c>
      <c r="O12">
        <v>1</v>
      </c>
      <c r="W12">
        <v>1</v>
      </c>
      <c r="Z12">
        <v>1</v>
      </c>
      <c r="AA12">
        <v>1</v>
      </c>
      <c r="AB12">
        <v>1</v>
      </c>
    </row>
    <row r="13" spans="1:28">
      <c r="A13" s="22" t="s">
        <v>23</v>
      </c>
      <c r="D13">
        <v>1</v>
      </c>
      <c r="L13">
        <v>1</v>
      </c>
      <c r="T13">
        <v>1</v>
      </c>
      <c r="Z13">
        <v>1</v>
      </c>
      <c r="AA13">
        <v>1</v>
      </c>
      <c r="AB13">
        <v>1</v>
      </c>
    </row>
    <row r="14" spans="1:28">
      <c r="A14" s="22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8</v>
      </c>
      <c r="AA14">
        <v>8</v>
      </c>
      <c r="AB1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F9"/>
    </sheetView>
  </sheetViews>
  <sheetFormatPr defaultColWidth="9" defaultRowHeight="14.4"/>
  <cols>
    <col min="1" max="1" width="14.33203125" customWidth="1"/>
    <col min="2" max="2" width="16.6640625" customWidth="1"/>
    <col min="3" max="3" width="19.5546875" customWidth="1"/>
    <col min="4" max="4" width="14.44140625" customWidth="1"/>
    <col min="5" max="5" width="13.5546875" customWidth="1"/>
    <col min="6" max="6" width="12.88671875" customWidth="1"/>
    <col min="7" max="7" width="8.109375" customWidth="1"/>
    <col min="8" max="8" width="8.5546875" customWidth="1"/>
    <col min="9" max="9" width="9.33203125" customWidth="1"/>
  </cols>
  <sheetData>
    <row r="1" spans="1:7" ht="27" customHeight="1">
      <c r="A1" s="24" t="s">
        <v>25</v>
      </c>
      <c r="B1" s="25" t="s">
        <v>26</v>
      </c>
      <c r="C1" s="26" t="s">
        <v>27</v>
      </c>
      <c r="D1" s="27" t="s">
        <v>28</v>
      </c>
      <c r="E1" s="28" t="s">
        <v>29</v>
      </c>
      <c r="F1" s="29" t="s">
        <v>30</v>
      </c>
      <c r="G1" s="30"/>
    </row>
    <row r="2" spans="1:7" ht="37.5" customHeight="1">
      <c r="A2" s="31" t="s">
        <v>23</v>
      </c>
      <c r="B2" s="32" t="s">
        <v>31</v>
      </c>
      <c r="C2" s="32" t="s">
        <v>10</v>
      </c>
      <c r="D2" s="33" t="s">
        <v>32</v>
      </c>
      <c r="E2" s="34" t="s">
        <v>33</v>
      </c>
      <c r="F2" s="35">
        <v>45658</v>
      </c>
    </row>
    <row r="3" spans="1:7" ht="50.4" customHeight="1">
      <c r="A3" s="31" t="s">
        <v>20</v>
      </c>
      <c r="B3" s="32" t="s">
        <v>34</v>
      </c>
      <c r="C3" s="36" t="s">
        <v>15</v>
      </c>
      <c r="D3" s="32" t="s">
        <v>35</v>
      </c>
      <c r="E3" s="37" t="s">
        <v>36</v>
      </c>
      <c r="F3" s="37" t="s">
        <v>36</v>
      </c>
      <c r="G3" s="38"/>
    </row>
    <row r="4" spans="1:7" ht="32.1" customHeight="1">
      <c r="A4" s="39" t="s">
        <v>19</v>
      </c>
      <c r="B4" s="33" t="s">
        <v>37</v>
      </c>
      <c r="C4" s="40" t="s">
        <v>11</v>
      </c>
      <c r="D4" s="40" t="s">
        <v>38</v>
      </c>
      <c r="E4" s="33" t="s">
        <v>39</v>
      </c>
      <c r="F4" s="41">
        <v>45686</v>
      </c>
      <c r="G4" s="38"/>
    </row>
    <row r="5" spans="1:7" ht="44.4" customHeight="1">
      <c r="A5" s="39" t="s">
        <v>16</v>
      </c>
      <c r="B5" s="42" t="s">
        <v>40</v>
      </c>
      <c r="C5" s="30" t="s">
        <v>9</v>
      </c>
      <c r="D5" s="30" t="s">
        <v>41</v>
      </c>
      <c r="E5" s="33" t="s">
        <v>42</v>
      </c>
      <c r="F5" s="35">
        <v>45755</v>
      </c>
      <c r="G5" s="38"/>
    </row>
    <row r="6" spans="1:7" ht="28.8">
      <c r="A6" s="33" t="s">
        <v>22</v>
      </c>
      <c r="B6" s="34" t="s">
        <v>43</v>
      </c>
      <c r="C6" s="43" t="s">
        <v>13</v>
      </c>
      <c r="D6" s="33" t="s">
        <v>44</v>
      </c>
      <c r="E6" s="30" t="s">
        <v>45</v>
      </c>
      <c r="F6" s="41">
        <v>45757</v>
      </c>
    </row>
    <row r="7" spans="1:7" ht="43.2">
      <c r="A7" s="33" t="s">
        <v>17</v>
      </c>
      <c r="B7" s="44" t="s">
        <v>46</v>
      </c>
      <c r="C7" s="33" t="s">
        <v>8</v>
      </c>
      <c r="D7" s="38" t="s">
        <v>41</v>
      </c>
      <c r="E7" s="30" t="s">
        <v>47</v>
      </c>
      <c r="F7" s="45">
        <v>45635</v>
      </c>
      <c r="G7" s="34"/>
    </row>
    <row r="8" spans="1:7" ht="45" customHeight="1">
      <c r="A8" s="43" t="s">
        <v>18</v>
      </c>
      <c r="B8" s="33" t="s">
        <v>48</v>
      </c>
      <c r="C8" s="33" t="s">
        <v>14</v>
      </c>
      <c r="D8" s="33" t="s">
        <v>49</v>
      </c>
      <c r="E8" s="46" t="s">
        <v>50</v>
      </c>
      <c r="F8" s="47">
        <v>45724</v>
      </c>
    </row>
    <row r="9" spans="1:7" ht="31.5" customHeight="1">
      <c r="A9" s="38" t="s">
        <v>21</v>
      </c>
      <c r="B9" s="48" t="s">
        <v>51</v>
      </c>
      <c r="C9" s="38" t="s">
        <v>12</v>
      </c>
      <c r="D9" s="33" t="s">
        <v>52</v>
      </c>
      <c r="E9" s="49" t="s">
        <v>53</v>
      </c>
      <c r="F9" s="41">
        <v>45940</v>
      </c>
    </row>
    <row r="10" spans="1:7">
      <c r="E10" s="50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workbookViewId="0">
      <selection activeCell="B5" sqref="B5:D13"/>
    </sheetView>
  </sheetViews>
  <sheetFormatPr defaultColWidth="9" defaultRowHeight="14.4"/>
  <cols>
    <col min="1" max="1" width="12.21875"/>
    <col min="2" max="2" width="24.5546875"/>
    <col min="3" max="3" width="29.21875"/>
    <col min="4" max="4" width="24"/>
    <col min="5" max="5" width="17.21875"/>
    <col min="6" max="6" width="15.33203125" customWidth="1"/>
  </cols>
  <sheetData>
    <row r="3" spans="1:5">
      <c r="B3" t="s">
        <v>54</v>
      </c>
      <c r="C3" t="s">
        <v>55</v>
      </c>
      <c r="D3" t="s">
        <v>56</v>
      </c>
      <c r="E3" t="s">
        <v>57</v>
      </c>
    </row>
    <row r="4" spans="1:5">
      <c r="A4" s="22" t="s">
        <v>58</v>
      </c>
      <c r="B4" s="23">
        <v>1100000</v>
      </c>
      <c r="C4" s="23">
        <v>2000000</v>
      </c>
      <c r="D4" s="23">
        <v>0.55000000000000004</v>
      </c>
      <c r="E4">
        <v>1</v>
      </c>
    </row>
    <row r="5" spans="1:5">
      <c r="A5" s="22" t="s">
        <v>24</v>
      </c>
      <c r="B5">
        <v>1100000</v>
      </c>
      <c r="C5">
        <v>2000000</v>
      </c>
      <c r="D5">
        <v>0.55000000000000004</v>
      </c>
      <c r="E5">
        <v>1</v>
      </c>
    </row>
  </sheetData>
  <sortState xmlns:xlrd2="http://schemas.microsoft.com/office/spreadsheetml/2017/richdata2" columnSort="1" ref="A3:F14">
    <sortCondition descending="1" ref="B14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6"/>
  <sheetViews>
    <sheetView workbookViewId="0">
      <selection activeCell="L9" sqref="L9"/>
    </sheetView>
  </sheetViews>
  <sheetFormatPr defaultColWidth="9" defaultRowHeight="14.4"/>
  <cols>
    <col min="1" max="1" width="12.44140625" customWidth="1"/>
    <col min="2" max="2" width="21.44140625" customWidth="1"/>
  </cols>
  <sheetData>
    <row r="3" spans="1:2">
      <c r="A3" t="s">
        <v>7</v>
      </c>
      <c r="B3" t="s">
        <v>54</v>
      </c>
    </row>
    <row r="4" spans="1:2">
      <c r="A4" s="1">
        <v>45292</v>
      </c>
      <c r="B4" s="21">
        <v>1271950</v>
      </c>
    </row>
    <row r="5" spans="1:2">
      <c r="A5" s="1">
        <v>45355</v>
      </c>
      <c r="B5" s="21">
        <v>82500</v>
      </c>
    </row>
    <row r="6" spans="1:2">
      <c r="A6" s="1">
        <v>45357</v>
      </c>
      <c r="B6" s="21">
        <v>630000</v>
      </c>
    </row>
    <row r="7" spans="1:2">
      <c r="A7" s="1">
        <v>45364</v>
      </c>
      <c r="B7" s="21">
        <v>2625</v>
      </c>
    </row>
    <row r="8" spans="1:2">
      <c r="A8" s="1">
        <v>45430</v>
      </c>
      <c r="B8" s="21">
        <v>1200000</v>
      </c>
    </row>
    <row r="9" spans="1:2">
      <c r="A9" s="1">
        <v>45495</v>
      </c>
      <c r="B9" s="21">
        <v>175000</v>
      </c>
    </row>
    <row r="10" spans="1:2">
      <c r="A10" s="1">
        <v>45543</v>
      </c>
      <c r="B10" s="21">
        <v>1100000</v>
      </c>
    </row>
    <row r="11" spans="1:2">
      <c r="A11" s="1">
        <v>45601</v>
      </c>
      <c r="B11" s="21">
        <v>12500000</v>
      </c>
    </row>
    <row r="12" spans="1:2">
      <c r="A12" s="1">
        <v>45677</v>
      </c>
      <c r="B12" s="21">
        <v>12000000</v>
      </c>
    </row>
    <row r="13" spans="1:2">
      <c r="A13" s="1">
        <v>45717</v>
      </c>
      <c r="B13" s="21">
        <v>3000000</v>
      </c>
    </row>
    <row r="14" spans="1:2">
      <c r="A14" s="1">
        <v>45757</v>
      </c>
      <c r="B14" s="21">
        <v>7500000</v>
      </c>
    </row>
    <row r="15" spans="1:2">
      <c r="A15" s="1">
        <v>45792</v>
      </c>
      <c r="B15" s="21">
        <v>12500000</v>
      </c>
    </row>
    <row r="16" spans="1:2">
      <c r="A16" s="1" t="s">
        <v>24</v>
      </c>
      <c r="B16">
        <v>51962075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>
      <selection activeCell="G16" sqref="G16"/>
    </sheetView>
  </sheetViews>
  <sheetFormatPr defaultColWidth="9" defaultRowHeight="14.4"/>
  <cols>
    <col min="1" max="1" width="15.88671875" customWidth="1"/>
    <col min="2" max="2" width="15.6640625" customWidth="1"/>
    <col min="3" max="3" width="23.44140625" customWidth="1"/>
    <col min="4" max="4" width="15.6640625" customWidth="1"/>
    <col min="5" max="5" width="14.109375" customWidth="1"/>
    <col min="6" max="6" width="16.33203125" customWidth="1"/>
    <col min="7" max="7" width="17.5546875" customWidth="1"/>
    <col min="8" max="8" width="16.109375" customWidth="1"/>
    <col min="9" max="9" width="8.6640625" customWidth="1"/>
    <col min="10" max="10" width="8.88671875" customWidth="1"/>
    <col min="14" max="14" width="10.88671875" customWidth="1"/>
    <col min="17" max="18" width="9.5546875" customWidth="1"/>
    <col min="19" max="19" width="14" customWidth="1"/>
  </cols>
  <sheetData>
    <row r="1" spans="1:13" ht="23.4">
      <c r="C1" s="3" t="s">
        <v>59</v>
      </c>
      <c r="M1" s="20"/>
    </row>
    <row r="2" spans="1:13" ht="39.6">
      <c r="A2" s="4" t="s">
        <v>60</v>
      </c>
      <c r="B2" s="5" t="s">
        <v>61</v>
      </c>
      <c r="C2" s="6" t="s">
        <v>62</v>
      </c>
      <c r="D2" s="7" t="s">
        <v>63</v>
      </c>
      <c r="E2" s="8" t="s">
        <v>64</v>
      </c>
      <c r="F2" s="9" t="s">
        <v>65</v>
      </c>
      <c r="G2" s="10" t="s">
        <v>66</v>
      </c>
      <c r="H2" s="11" t="s">
        <v>30</v>
      </c>
    </row>
    <row r="3" spans="1:13" ht="38.1" customHeight="1">
      <c r="A3" s="12" t="s">
        <v>67</v>
      </c>
      <c r="B3" s="13">
        <v>93063000</v>
      </c>
      <c r="C3" s="14" t="s">
        <v>68</v>
      </c>
      <c r="D3" s="14">
        <v>300</v>
      </c>
      <c r="E3" s="14">
        <v>8.75</v>
      </c>
      <c r="F3" s="15">
        <v>2625</v>
      </c>
      <c r="G3" s="16" t="s">
        <v>69</v>
      </c>
      <c r="H3" s="17">
        <v>45364</v>
      </c>
    </row>
    <row r="4" spans="1:13" ht="33.6" customHeight="1">
      <c r="A4" s="12" t="s">
        <v>67</v>
      </c>
      <c r="B4" s="13">
        <v>93063000</v>
      </c>
      <c r="C4" s="14" t="s">
        <v>70</v>
      </c>
      <c r="D4" s="18">
        <v>1000000</v>
      </c>
      <c r="E4" s="14">
        <v>0.63</v>
      </c>
      <c r="F4" s="15">
        <v>630000</v>
      </c>
      <c r="G4" s="16" t="s">
        <v>71</v>
      </c>
      <c r="H4" s="17">
        <v>45357</v>
      </c>
    </row>
    <row r="5" spans="1:13" ht="35.1" customHeight="1">
      <c r="A5" s="12" t="s">
        <v>67</v>
      </c>
      <c r="B5" s="13">
        <v>93062100</v>
      </c>
      <c r="C5" s="14" t="s">
        <v>72</v>
      </c>
      <c r="D5" s="18">
        <v>50000</v>
      </c>
      <c r="E5" s="14">
        <v>1.65</v>
      </c>
      <c r="F5" s="15">
        <v>82500</v>
      </c>
      <c r="G5" s="16" t="s">
        <v>73</v>
      </c>
      <c r="H5" s="17">
        <v>45355</v>
      </c>
    </row>
    <row r="6" spans="1:13" ht="27.9" customHeight="1">
      <c r="A6" s="12" t="s">
        <v>67</v>
      </c>
      <c r="B6" s="13">
        <v>93062100</v>
      </c>
      <c r="C6" s="14" t="s">
        <v>74</v>
      </c>
      <c r="D6" s="18">
        <v>129600</v>
      </c>
      <c r="E6" s="14">
        <v>4.5</v>
      </c>
      <c r="F6" s="15">
        <v>583200</v>
      </c>
      <c r="G6" s="16" t="s">
        <v>75</v>
      </c>
      <c r="H6" s="17">
        <v>45292</v>
      </c>
    </row>
    <row r="7" spans="1:13" ht="27.6">
      <c r="A7" s="12" t="s">
        <v>67</v>
      </c>
      <c r="B7" s="13">
        <v>93062100</v>
      </c>
      <c r="C7" s="14" t="s">
        <v>76</v>
      </c>
      <c r="D7" s="18">
        <v>475000</v>
      </c>
      <c r="E7" s="14">
        <v>1.45</v>
      </c>
      <c r="F7" s="15">
        <v>688750</v>
      </c>
      <c r="G7" s="16" t="s">
        <v>75</v>
      </c>
      <c r="H7" s="17">
        <v>45292</v>
      </c>
    </row>
    <row r="8" spans="1:13" ht="27.6">
      <c r="A8" s="12" t="s">
        <v>67</v>
      </c>
      <c r="B8" s="13">
        <v>93069000</v>
      </c>
      <c r="C8" s="14" t="s">
        <v>77</v>
      </c>
      <c r="D8" s="18">
        <v>5000</v>
      </c>
      <c r="E8" s="19">
        <v>2500</v>
      </c>
      <c r="F8" s="15">
        <v>12500000</v>
      </c>
      <c r="G8" s="16" t="s">
        <v>78</v>
      </c>
      <c r="H8" s="17">
        <v>45792</v>
      </c>
    </row>
    <row r="9" spans="1:13" ht="33.6" customHeight="1">
      <c r="A9" s="12" t="s">
        <v>67</v>
      </c>
      <c r="B9" s="13">
        <v>93069000</v>
      </c>
      <c r="C9" s="14" t="s">
        <v>79</v>
      </c>
      <c r="D9" s="14">
        <v>150</v>
      </c>
      <c r="E9" s="19">
        <v>50000</v>
      </c>
      <c r="F9" s="15">
        <v>7500000</v>
      </c>
      <c r="G9" s="16" t="s">
        <v>80</v>
      </c>
      <c r="H9" s="17">
        <v>45757</v>
      </c>
    </row>
    <row r="10" spans="1:13" ht="36.6" customHeight="1">
      <c r="A10" s="12" t="s">
        <v>67</v>
      </c>
      <c r="B10" s="13">
        <v>93069000</v>
      </c>
      <c r="C10" s="14" t="s">
        <v>81</v>
      </c>
      <c r="D10" s="14">
        <v>200</v>
      </c>
      <c r="E10" s="19">
        <v>15000</v>
      </c>
      <c r="F10" s="15">
        <v>3000000</v>
      </c>
      <c r="G10" s="16" t="s">
        <v>82</v>
      </c>
      <c r="H10" s="17">
        <v>45717</v>
      </c>
    </row>
    <row r="11" spans="1:13" ht="44.1" customHeight="1">
      <c r="A11" s="12" t="s">
        <v>67</v>
      </c>
      <c r="B11" s="13">
        <v>93069000</v>
      </c>
      <c r="C11" s="14" t="s">
        <v>83</v>
      </c>
      <c r="D11" s="18">
        <v>10000</v>
      </c>
      <c r="E11" s="19">
        <v>1200</v>
      </c>
      <c r="F11" s="15">
        <v>12000000</v>
      </c>
      <c r="G11" s="16" t="s">
        <v>69</v>
      </c>
      <c r="H11" s="17">
        <v>45677</v>
      </c>
    </row>
    <row r="12" spans="1:13" ht="27.6">
      <c r="A12" s="12" t="s">
        <v>67</v>
      </c>
      <c r="B12" s="13">
        <v>93069000</v>
      </c>
      <c r="C12" s="14" t="s">
        <v>84</v>
      </c>
      <c r="D12" s="18">
        <v>25000</v>
      </c>
      <c r="E12" s="14">
        <v>500</v>
      </c>
      <c r="F12" s="15">
        <v>12500000</v>
      </c>
      <c r="G12" s="16" t="s">
        <v>85</v>
      </c>
      <c r="H12" s="17">
        <v>45601</v>
      </c>
    </row>
    <row r="13" spans="1:13" ht="36" customHeight="1">
      <c r="A13" s="12" t="s">
        <v>67</v>
      </c>
      <c r="B13" s="13">
        <v>93063000</v>
      </c>
      <c r="C13" s="14" t="s">
        <v>86</v>
      </c>
      <c r="D13" s="18">
        <v>2000000</v>
      </c>
      <c r="E13" s="14">
        <v>0.55000000000000004</v>
      </c>
      <c r="F13" s="15">
        <v>1100000</v>
      </c>
      <c r="G13" s="16" t="s">
        <v>58</v>
      </c>
      <c r="H13" s="17">
        <v>45543</v>
      </c>
    </row>
    <row r="14" spans="1:13" ht="41.4">
      <c r="A14" s="12" t="s">
        <v>67</v>
      </c>
      <c r="B14" s="13">
        <v>93062100</v>
      </c>
      <c r="C14" s="14" t="s">
        <v>87</v>
      </c>
      <c r="D14" s="18">
        <v>500000</v>
      </c>
      <c r="E14" s="14">
        <v>0.35</v>
      </c>
      <c r="F14" s="15">
        <v>175000</v>
      </c>
      <c r="G14" s="16" t="s">
        <v>88</v>
      </c>
      <c r="H14" s="17">
        <v>45495</v>
      </c>
    </row>
    <row r="15" spans="1:13" ht="27.6">
      <c r="A15" s="12" t="s">
        <v>67</v>
      </c>
      <c r="B15" s="13">
        <v>93069000</v>
      </c>
      <c r="C15" s="14" t="s">
        <v>89</v>
      </c>
      <c r="D15" s="18">
        <v>3000</v>
      </c>
      <c r="E15" s="14">
        <v>400</v>
      </c>
      <c r="F15" s="15">
        <v>1200000</v>
      </c>
      <c r="G15" s="16" t="s">
        <v>78</v>
      </c>
      <c r="H15" s="17">
        <v>45430</v>
      </c>
    </row>
    <row r="16" spans="1:13" ht="12.9" customHeight="1"/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6"/>
  <sheetViews>
    <sheetView workbookViewId="0">
      <selection activeCell="B4" sqref="B4:B15"/>
    </sheetView>
  </sheetViews>
  <sheetFormatPr defaultColWidth="9" defaultRowHeight="14.4"/>
  <cols>
    <col min="1" max="1" width="12.44140625" customWidth="1"/>
    <col min="2" max="2" width="20.5546875" customWidth="1"/>
    <col min="3" max="3" width="15.44140625" customWidth="1"/>
    <col min="4" max="4" width="25.33203125" customWidth="1"/>
    <col min="5" max="6" width="20.5546875" customWidth="1"/>
    <col min="7" max="7" width="22.5546875" customWidth="1"/>
    <col min="8" max="8" width="22.109375" customWidth="1"/>
    <col min="9" max="9" width="28.5546875" customWidth="1"/>
    <col min="10" max="10" width="21.88671875" customWidth="1"/>
    <col min="11" max="11" width="29.33203125" customWidth="1"/>
    <col min="12" max="12" width="39.109375" customWidth="1"/>
    <col min="13" max="13" width="40.33203125" customWidth="1"/>
    <col min="14" max="14" width="18.5546875" customWidth="1"/>
    <col min="15" max="15" width="10.6640625" customWidth="1"/>
    <col min="16" max="16" width="30.44140625" customWidth="1"/>
    <col min="17" max="17" width="33.5546875" customWidth="1"/>
    <col min="18" max="18" width="23.6640625" customWidth="1"/>
    <col min="19" max="19" width="26.6640625" customWidth="1"/>
    <col min="20" max="20" width="31.109375" customWidth="1"/>
    <col min="21" max="21" width="34.109375" customWidth="1"/>
    <col min="22" max="22" width="40.88671875" customWidth="1"/>
    <col min="23" max="23" width="43.88671875" customWidth="1"/>
    <col min="24" max="24" width="42.109375" customWidth="1"/>
    <col min="25" max="25" width="45.109375" customWidth="1"/>
    <col min="26" max="26" width="20.44140625" customWidth="1"/>
    <col min="27" max="27" width="23.44140625" customWidth="1"/>
    <col min="28" max="28" width="10.6640625" customWidth="1"/>
    <col min="29" max="29" width="25.44140625" customWidth="1"/>
  </cols>
  <sheetData>
    <row r="3" spans="1:2">
      <c r="A3" t="s">
        <v>7</v>
      </c>
      <c r="B3" t="s">
        <v>56</v>
      </c>
    </row>
    <row r="4" spans="1:2">
      <c r="A4" s="1">
        <v>45292</v>
      </c>
      <c r="B4" s="2">
        <v>5.95</v>
      </c>
    </row>
    <row r="5" spans="1:2">
      <c r="A5" s="1">
        <v>45355</v>
      </c>
      <c r="B5" s="2">
        <v>1.65</v>
      </c>
    </row>
    <row r="6" spans="1:2">
      <c r="A6" s="1">
        <v>45357</v>
      </c>
      <c r="B6" s="2">
        <v>0.63</v>
      </c>
    </row>
    <row r="7" spans="1:2">
      <c r="A7" s="1">
        <v>45364</v>
      </c>
      <c r="B7" s="2">
        <v>8.75</v>
      </c>
    </row>
    <row r="8" spans="1:2">
      <c r="A8" s="1">
        <v>45430</v>
      </c>
      <c r="B8" s="2">
        <v>400</v>
      </c>
    </row>
    <row r="9" spans="1:2">
      <c r="A9" s="1">
        <v>45495</v>
      </c>
      <c r="B9" s="2">
        <v>0.35</v>
      </c>
    </row>
    <row r="10" spans="1:2">
      <c r="A10" s="1">
        <v>45543</v>
      </c>
      <c r="B10" s="2">
        <v>0.55000000000000004</v>
      </c>
    </row>
    <row r="11" spans="1:2">
      <c r="A11" s="1">
        <v>45601</v>
      </c>
      <c r="B11" s="2">
        <v>500</v>
      </c>
    </row>
    <row r="12" spans="1:2">
      <c r="A12" s="1">
        <v>45677</v>
      </c>
      <c r="B12" s="2">
        <v>1200</v>
      </c>
    </row>
    <row r="13" spans="1:2">
      <c r="A13" s="1">
        <v>45717</v>
      </c>
      <c r="B13" s="2">
        <v>15000</v>
      </c>
    </row>
    <row r="14" spans="1:2">
      <c r="A14" s="1">
        <v>45757</v>
      </c>
      <c r="B14" s="2">
        <v>50000</v>
      </c>
    </row>
    <row r="15" spans="1:2">
      <c r="A15" s="1">
        <v>45792</v>
      </c>
      <c r="B15" s="2">
        <v>2500</v>
      </c>
    </row>
    <row r="16" spans="1:2">
      <c r="A16" s="1" t="s">
        <v>24</v>
      </c>
      <c r="B16">
        <v>69617.88</v>
      </c>
    </row>
  </sheetData>
  <sortState xmlns:xlrd2="http://schemas.microsoft.com/office/spreadsheetml/2017/richdata2" columnSort="1" ref="A3:F14">
    <sortCondition descending="1" ref="B14"/>
  </sortState>
  <pageMargins left="0.7" right="0.7" top="0.75" bottom="0.75" header="0.3" footer="0.3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tabSelected="1" zoomScale="42" zoomScaleNormal="42" workbookViewId="0">
      <selection activeCell="AK53" sqref="AK53"/>
    </sheetView>
  </sheetViews>
  <sheetFormatPr defaultColWidth="9" defaultRowHeight="14.4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Sheet7</vt:lpstr>
      <vt:lpstr>Sheet1</vt:lpstr>
      <vt:lpstr>Profit by Ammunation</vt:lpstr>
      <vt:lpstr>Total Profit</vt:lpstr>
      <vt:lpstr>Sheet2</vt:lpstr>
      <vt:lpstr>Unit Sold Month</vt:lpstr>
      <vt:lpstr>Dashboard</vt:lpstr>
      <vt:lpstr>Sheet8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</dc:creator>
  <cp:lastModifiedBy>Abhishek tiwary</cp:lastModifiedBy>
  <dcterms:created xsi:type="dcterms:W3CDTF">2025-11-25T12:44:00Z</dcterms:created>
  <dcterms:modified xsi:type="dcterms:W3CDTF">2025-12-09T08:11:54Z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1EFF3E4F15CF42628B63561434FAFDF7_12</vt:lpwstr>
  </property>
  <property fmtid="{D5CDD505-2E9C-101B-9397-08002B2CF9AE}" pid="3" name="KSOProductBuildVer">
    <vt:lpwstr>1033-12.2.0.21931</vt:lpwstr>
  </property>
</Properties>
</file>